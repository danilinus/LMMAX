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P:\_07 ОТДЕЛ\Игнатов\"/>
    </mc:Choice>
  </mc:AlternateContent>
  <bookViews>
    <workbookView xWindow="0" yWindow="0" windowWidth="28800" windowHeight="12435"/>
  </bookViews>
  <sheets>
    <sheet name="temp6068903749130537128" sheetId="1" r:id="rId1"/>
  </sheets>
  <calcPr calcId="0"/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72" i="1"/>
  <c r="D173" i="1"/>
  <c r="D174" i="1"/>
  <c r="D175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</calcChain>
</file>

<file path=xl/sharedStrings.xml><?xml version="1.0" encoding="utf-8"?>
<sst xmlns="http://schemas.openxmlformats.org/spreadsheetml/2006/main" count="15992" uniqueCount="3620">
  <si>
    <t>Номенклатура</t>
  </si>
  <si>
    <t>Артикул</t>
  </si>
  <si>
    <t>Штрихкод</t>
  </si>
  <si>
    <t>Наименование</t>
  </si>
  <si>
    <t>Запас</t>
  </si>
  <si>
    <t>Топ</t>
  </si>
  <si>
    <t>ЕМ</t>
  </si>
  <si>
    <t>Г</t>
  </si>
  <si>
    <t>Поставщик</t>
  </si>
  <si>
    <t>Дата AVS</t>
  </si>
  <si>
    <t>Блок на заказ поставщику</t>
  </si>
  <si>
    <t>Цена ₽</t>
  </si>
  <si>
    <t>007-705-010-010</t>
  </si>
  <si>
    <t>Душ.ширма OPTIMA 80Х80 квадр.</t>
  </si>
  <si>
    <t>3,00</t>
  </si>
  <si>
    <t>Да</t>
  </si>
  <si>
    <t>A</t>
  </si>
  <si>
    <t>912 - РЦ Южные Врата</t>
  </si>
  <si>
    <t>Нет</t>
  </si>
  <si>
    <t>17237,00</t>
  </si>
  <si>
    <t>Душ. ширма QUAD 90х90</t>
  </si>
  <si>
    <t>7,00</t>
  </si>
  <si>
    <t>19580,00</t>
  </si>
  <si>
    <t>Душ. ширма NEREA 90-100X90-100</t>
  </si>
  <si>
    <t>2,00</t>
  </si>
  <si>
    <t>10615,00</t>
  </si>
  <si>
    <t>Душ. ширма ALUR квад. 100х100</t>
  </si>
  <si>
    <t>5,00</t>
  </si>
  <si>
    <t>906 - РЦ Новосибирск</t>
  </si>
  <si>
    <t>15620,00</t>
  </si>
  <si>
    <t>Душ. ширма ALUR квад. 80х80</t>
  </si>
  <si>
    <t>4,00</t>
  </si>
  <si>
    <t>13420,00</t>
  </si>
  <si>
    <t>Душ. ширма ALUR квад. 90х90</t>
  </si>
  <si>
    <t>1,00</t>
  </si>
  <si>
    <t>14520,00</t>
  </si>
  <si>
    <t>Душ. ширма Юно 90х90 выс.под.</t>
  </si>
  <si>
    <t>1002733007 - ООО "Бенефит"</t>
  </si>
  <si>
    <t>9332,00</t>
  </si>
  <si>
    <t>Душ. ширма Юно 90х90 низ.под.</t>
  </si>
  <si>
    <t>10,00</t>
  </si>
  <si>
    <t>9050,00</t>
  </si>
  <si>
    <t>Душ. ширма Юно 100х100 низ.под.</t>
  </si>
  <si>
    <t>8,00</t>
  </si>
  <si>
    <t>9851,00</t>
  </si>
  <si>
    <t>007-705-010-020</t>
  </si>
  <si>
    <t>Душ.ширма OPTIMA 90Х90 1/4 кр.</t>
  </si>
  <si>
    <t>18238,00</t>
  </si>
  <si>
    <t>6,00</t>
  </si>
  <si>
    <t>18993,00</t>
  </si>
  <si>
    <t>Душ.ширма ORANGE 90Х90 1/4 кр.</t>
  </si>
  <si>
    <t>B</t>
  </si>
  <si>
    <t>1000559007 - ООО "Акваарт-М"</t>
  </si>
  <si>
    <t>23265,00</t>
  </si>
  <si>
    <t>ЛЦ Душ.ширма САЛЮТ 90Х90 1/4 кр</t>
  </si>
  <si>
    <t>1001257007 - ООО "СИБПЛАСТ"</t>
  </si>
  <si>
    <t>4911,00</t>
  </si>
  <si>
    <t>Душ.ширма ТЕРРА 90Х90 1/4 кр</t>
  </si>
  <si>
    <t>6243,00</t>
  </si>
  <si>
    <t>Душ.ширма СИМПЛИ 90Х90 1/4 кр. низ. поддон</t>
  </si>
  <si>
    <t>16,00</t>
  </si>
  <si>
    <t>1002040007 - ООО "Торговый Дом "Реал-Керамика"</t>
  </si>
  <si>
    <t>9416,00</t>
  </si>
  <si>
    <t>душ. ширма QUAD 1/4 кр. 90x90</t>
  </si>
  <si>
    <t>Душ. ширма QUAD 1/4 кр. 100х100</t>
  </si>
  <si>
    <t>21780,00</t>
  </si>
  <si>
    <t>Душ. ширма ALUR 1/4 кр. 100х100</t>
  </si>
  <si>
    <t>15180,00</t>
  </si>
  <si>
    <t>Душ. ширма ALUR 1/4 кр. 90х90</t>
  </si>
  <si>
    <t>13860,00</t>
  </si>
  <si>
    <t>Душ. ширма NEREA 1/4 кр. 100х100</t>
  </si>
  <si>
    <t>11770,00</t>
  </si>
  <si>
    <t>007-705-010-030</t>
  </si>
  <si>
    <t>Душ.ширма OPTIMA 70Х100 прям.</t>
  </si>
  <si>
    <t>18426,00</t>
  </si>
  <si>
    <t>Душ. Ширма QUAD 70х100</t>
  </si>
  <si>
    <t>20790,00</t>
  </si>
  <si>
    <t>Душ. ширма NEREA 70-80X95-100 прям.</t>
  </si>
  <si>
    <t>10505,00</t>
  </si>
  <si>
    <t>Душ. ширма NEREA 80X120 прям.</t>
  </si>
  <si>
    <t>11110,00</t>
  </si>
  <si>
    <t>душ. ширма ALUR-RECT 80х120</t>
  </si>
  <si>
    <t>16280,00</t>
  </si>
  <si>
    <t>Душ. ширма ALUR-RECT 70х110</t>
  </si>
  <si>
    <t>007-705-010-040</t>
  </si>
  <si>
    <t>Душ.дверь OPTIMA расп.90X190 бел</t>
  </si>
  <si>
    <t>13453,00</t>
  </si>
  <si>
    <t>007-705-020-010</t>
  </si>
  <si>
    <t>Поддон 80Х80 квадр.сталь</t>
  </si>
  <si>
    <t>1880,00</t>
  </si>
  <si>
    <t>Поддон 90Х90 квадр.сталь</t>
  </si>
  <si>
    <t>158,00</t>
  </si>
  <si>
    <t>2100,00</t>
  </si>
  <si>
    <t>Поддон 80Х80 квадр.керам</t>
  </si>
  <si>
    <t>5752,00</t>
  </si>
  <si>
    <t>Поддон 90Х90 квадр.керам</t>
  </si>
  <si>
    <t>7110,00</t>
  </si>
  <si>
    <t>Поддон 80Х120 квадр.керам</t>
  </si>
  <si>
    <t>8068,00</t>
  </si>
  <si>
    <t>007-705-020-020</t>
  </si>
  <si>
    <t>Поддон 70Х100 прям.керам</t>
  </si>
  <si>
    <t>6382,00</t>
  </si>
  <si>
    <t>007-705-020-030</t>
  </si>
  <si>
    <t>Поддон 80Х120 1/4 кр.акрил Л</t>
  </si>
  <si>
    <t>10578,00</t>
  </si>
  <si>
    <t>Поддон 80Х120 1/4 кр.акрил П</t>
  </si>
  <si>
    <t>Поддон 80Х80 1/4 кр.керам</t>
  </si>
  <si>
    <t>5436,00</t>
  </si>
  <si>
    <t>Поддон 90Х90 1/4 кр.керам</t>
  </si>
  <si>
    <t>9,00</t>
  </si>
  <si>
    <t>6967,00</t>
  </si>
  <si>
    <t>Поддон ORANGE 90Х90 1/4 кр.акрил</t>
  </si>
  <si>
    <t>7866,00</t>
  </si>
  <si>
    <t>ЛЦ Поддон САЛЮТ/ТЕРРА акрил 1/4 кр</t>
  </si>
  <si>
    <t>32,00</t>
  </si>
  <si>
    <t>1003091007 - ООО "АкваСити"</t>
  </si>
  <si>
    <t>2178,00</t>
  </si>
  <si>
    <t>007-705-030-010</t>
  </si>
  <si>
    <t>Душ.дверь OPTIMA расп.100X190 бел</t>
  </si>
  <si>
    <t>15957,00</t>
  </si>
  <si>
    <t>Душ.дверь PURITY расп.90Х195 хр</t>
  </si>
  <si>
    <t>15064,00</t>
  </si>
  <si>
    <t>Душ.дверь PURITY склад.90x195 прозр.хр</t>
  </si>
  <si>
    <t>17592,00</t>
  </si>
  <si>
    <t>Душ.дверь PURITY склад.80x195 прозр.хр</t>
  </si>
  <si>
    <t>17437,00</t>
  </si>
  <si>
    <t>Дверь DADO 90X185</t>
  </si>
  <si>
    <t>10890,00</t>
  </si>
  <si>
    <t>Дверь DADO 80X185</t>
  </si>
  <si>
    <t>10230,00</t>
  </si>
  <si>
    <t>Дверь NEREA 90х185</t>
  </si>
  <si>
    <t>9075,00</t>
  </si>
  <si>
    <t>Дверь NEREA 80х185</t>
  </si>
  <si>
    <t>8415,00</t>
  </si>
  <si>
    <t>Дверь Классика 90 распашная</t>
  </si>
  <si>
    <t>1003164007 - ООО "Галерея М"</t>
  </si>
  <si>
    <t>17328,00</t>
  </si>
  <si>
    <t>Дверь Классика 100 распашная</t>
  </si>
  <si>
    <t>17785,00</t>
  </si>
  <si>
    <t>Дверь Классика 120 распашная</t>
  </si>
  <si>
    <t>18011,00</t>
  </si>
  <si>
    <t>Дверь Премиум 120 раздвижная</t>
  </si>
  <si>
    <t>21546,00</t>
  </si>
  <si>
    <t>007-705-030-020</t>
  </si>
  <si>
    <t>Панель DADO 80X185</t>
  </si>
  <si>
    <t>6560,00</t>
  </si>
  <si>
    <t>Панель DADO 70X185</t>
  </si>
  <si>
    <t>6370,00</t>
  </si>
  <si>
    <t>Панель DADO 90X185</t>
  </si>
  <si>
    <t>6380,00</t>
  </si>
  <si>
    <t>Панель NEREA 90х185</t>
  </si>
  <si>
    <t>6800,00</t>
  </si>
  <si>
    <t>Панель NEREA 80х185</t>
  </si>
  <si>
    <t>6300,00</t>
  </si>
  <si>
    <t>Боковая панель 70 д/двери Классика, Комфорт</t>
  </si>
  <si>
    <t>11172,00</t>
  </si>
  <si>
    <t>Боковая панель80 д/двери Классика, Комфорт</t>
  </si>
  <si>
    <t>11400,00</t>
  </si>
  <si>
    <t>Боковая панель 90 д/двери Классика, Комфорт</t>
  </si>
  <si>
    <t>11628,00</t>
  </si>
  <si>
    <t>007-710-010-010</t>
  </si>
  <si>
    <t>Мини рак.керам.ФОРУМ 45х28 бел.Л.отв</t>
  </si>
  <si>
    <t>1002985007 - ООО"Керамика"</t>
  </si>
  <si>
    <t>1031,00</t>
  </si>
  <si>
    <t>Мини рак.керам.ФОРУМ 45х28 бел.П.отв</t>
  </si>
  <si>
    <t>17,00</t>
  </si>
  <si>
    <t>Мини рак.керам.СИТИ 46х39 бел.отв.</t>
  </si>
  <si>
    <t>1002610007 - ООО "Торговая компания "Керамин-Центр"</t>
  </si>
  <si>
    <t>1135,00</t>
  </si>
  <si>
    <t>Мини рак.керам.угл.ВЕЕР 35х35 бел.отв.</t>
  </si>
  <si>
    <t>38,00</t>
  </si>
  <si>
    <t>1002760007 - ООО "САНИТА сантехника"</t>
  </si>
  <si>
    <t>1102,00</t>
  </si>
  <si>
    <t>Мини рак.керам.MARKET 40х32 бел.отв.</t>
  </si>
  <si>
    <t>27,00</t>
  </si>
  <si>
    <t>1002503007 - ООО "Церсанит Трейд"</t>
  </si>
  <si>
    <t>1150,00</t>
  </si>
  <si>
    <t>007-710-020-010</t>
  </si>
  <si>
    <t>Рак.круг.керам.НЕПТУН 40x40</t>
  </si>
  <si>
    <t>2480,00</t>
  </si>
  <si>
    <t>007-710-020-020</t>
  </si>
  <si>
    <t>Раковина ВИКТОРИЯ 56х46 отв.бел</t>
  </si>
  <si>
    <t>1000898007 - ООО "Аквана"</t>
  </si>
  <si>
    <t>2570,00</t>
  </si>
  <si>
    <t>Рак.фарф.РОМАШКА 60х40 бел.отв</t>
  </si>
  <si>
    <t>37,00</t>
  </si>
  <si>
    <t>1232,00</t>
  </si>
  <si>
    <t>Рак.фарф.САМАРСКАЯ 57,5х44,5 бел.отв</t>
  </si>
  <si>
    <t>42,00</t>
  </si>
  <si>
    <t>870,00</t>
  </si>
  <si>
    <t>Рак.круг.керам.ЛИНА 59x41</t>
  </si>
  <si>
    <t>12,00</t>
  </si>
  <si>
    <t>5948,00</t>
  </si>
  <si>
    <t>Рак.круг.керам.БИАНКА 54x44</t>
  </si>
  <si>
    <t>0,00</t>
  </si>
  <si>
    <t>1640,00</t>
  </si>
  <si>
    <t>Мини рак..керам. АНТОНЕЛЛА 52x26</t>
  </si>
  <si>
    <t>1512,00</t>
  </si>
  <si>
    <t>Рак.фарф. АRТ 48х48 бел.отв</t>
  </si>
  <si>
    <t>1532,00</t>
  </si>
  <si>
    <t>Раковина MITO RED 55 бел.</t>
  </si>
  <si>
    <t>1840,00</t>
  </si>
  <si>
    <t>Рак.керам.ПИЛОТ 50х60 бел.отв</t>
  </si>
  <si>
    <t>3302,00</t>
  </si>
  <si>
    <t>Рак.керам.ПИЛОТ 60х60 бел.отв</t>
  </si>
  <si>
    <t>29,00</t>
  </si>
  <si>
    <t>3757,00</t>
  </si>
  <si>
    <t>Раковина MITO RED 50 бел.</t>
  </si>
  <si>
    <t>1783,00</t>
  </si>
  <si>
    <t>Раковина керам.COLOUR 50 отв.бел</t>
  </si>
  <si>
    <t>2290,00</t>
  </si>
  <si>
    <t>Раковина керам.W 101 60х48 бел.</t>
  </si>
  <si>
    <t>70,00</t>
  </si>
  <si>
    <t>1001237007 - ООО "Торговый Дом "Керамика-Волга"</t>
  </si>
  <si>
    <t>970,00</t>
  </si>
  <si>
    <t>007-710-020-030</t>
  </si>
  <si>
    <t>Рак.прямуг.керам.ИЛЕНА 63x38,9</t>
  </si>
  <si>
    <t>4812,00</t>
  </si>
  <si>
    <t>Рак.квадр.керам.КЛАРА 81х55</t>
  </si>
  <si>
    <t>16738,00</t>
  </si>
  <si>
    <t>Раковина керам.SEVADUO 65 бел.</t>
  </si>
  <si>
    <t>1003311007 - ООО "Идеал Стандарт РУС"</t>
  </si>
  <si>
    <t>2414,00</t>
  </si>
  <si>
    <t>07 Установка раковины с тумбой</t>
  </si>
  <si>
    <t>0,01</t>
  </si>
  <si>
    <t>007-710-020-040</t>
  </si>
  <si>
    <t xml:space="preserve"> Пьедестал д/рак.COLOUR</t>
  </si>
  <si>
    <t>14,00</t>
  </si>
  <si>
    <t>2702,00</t>
  </si>
  <si>
    <t>Пьедестал UNIVERSAL д/рак.W 101</t>
  </si>
  <si>
    <t>87,00</t>
  </si>
  <si>
    <t>790,00</t>
  </si>
  <si>
    <t>Пьедестал SEVADUO</t>
  </si>
  <si>
    <t>1478,00</t>
  </si>
  <si>
    <t>007-710-020-050</t>
  </si>
  <si>
    <t>Кронштеины д/раковины КАТУНЬ</t>
  </si>
  <si>
    <t>1001258007 - ООО "Торговый дом "Универсал"</t>
  </si>
  <si>
    <t>168,00</t>
  </si>
  <si>
    <t>Заглушка д/раковины хр.</t>
  </si>
  <si>
    <t>1002589007 - ООО "САНТИС"</t>
  </si>
  <si>
    <t>40,00</t>
  </si>
  <si>
    <t>Заглушка д/раковины бел.</t>
  </si>
  <si>
    <t>28,00</t>
  </si>
  <si>
    <t>007-710-020-060</t>
  </si>
  <si>
    <t>Пьедестал РОМАШКА</t>
  </si>
  <si>
    <t>871,00</t>
  </si>
  <si>
    <t>Пьедестал САМАРСКИЙ</t>
  </si>
  <si>
    <t>84,00</t>
  </si>
  <si>
    <t>752,00</t>
  </si>
  <si>
    <t>Пьедестал АRТ</t>
  </si>
  <si>
    <t>1020,00</t>
  </si>
  <si>
    <t>Пъедестал КАТУНЬ</t>
  </si>
  <si>
    <t>72,00</t>
  </si>
  <si>
    <t>730,00</t>
  </si>
  <si>
    <t>007-710-030-010</t>
  </si>
  <si>
    <t>Рак.круг.стекл.ЭЛИЗА 42х12</t>
  </si>
  <si>
    <t>4614,00</t>
  </si>
  <si>
    <t>007-710-030-020</t>
  </si>
  <si>
    <t>Рак.накл.керам.SALSA BASIN 44х44 бел.</t>
  </si>
  <si>
    <t>3883,00</t>
  </si>
  <si>
    <t>Рак.накл.керам.BOSTON 46Xх46 беж.</t>
  </si>
  <si>
    <t>6594,00</t>
  </si>
  <si>
    <t>Рак.накл.керам.MELBOURNE 48х34 с рисунком</t>
  </si>
  <si>
    <t>8678,00</t>
  </si>
  <si>
    <t>Рак.накл.натур.камень BRESSA 40х15 беж.</t>
  </si>
  <si>
    <t>7100,00</t>
  </si>
  <si>
    <t>007-710-030-030</t>
  </si>
  <si>
    <t>Столешница ПОРТО 50х80 дуб беленый</t>
  </si>
  <si>
    <t>15,00</t>
  </si>
  <si>
    <t>1003096007 - ООО "Фабрика Мебели"</t>
  </si>
  <si>
    <t>1427,00</t>
  </si>
  <si>
    <t>Столешница COFFEE иск.камень 80х50х18</t>
  </si>
  <si>
    <t>6770,00</t>
  </si>
  <si>
    <t>Столешница MILK иск.камень 80х50х18</t>
  </si>
  <si>
    <t>Столешница COFFEE иск.камень 60х50х18</t>
  </si>
  <si>
    <t>5494,00</t>
  </si>
  <si>
    <t>Кронштейн д/стол.45х5х75 хр.</t>
  </si>
  <si>
    <t>23,00</t>
  </si>
  <si>
    <t>1918,00</t>
  </si>
  <si>
    <t>Кронштейн д/стол.45х5х15 хр.</t>
  </si>
  <si>
    <t>984,00</t>
  </si>
  <si>
    <t>Столешница ПОРТО 50х60 дуб антик</t>
  </si>
  <si>
    <t>1094,00</t>
  </si>
  <si>
    <t>007-715-010-010</t>
  </si>
  <si>
    <t>Компакт NORDIC DUO гор.дв.слив</t>
  </si>
  <si>
    <t>11,00</t>
  </si>
  <si>
    <t>4207 - ООО "Центр сантехники XXI"</t>
  </si>
  <si>
    <t>12620,00</t>
  </si>
  <si>
    <t>Компакт ARTIC DUO гор.дв.слив микролфт</t>
  </si>
  <si>
    <t>17160,00</t>
  </si>
  <si>
    <t>Компакт ЭРИКА кос.дв.слив</t>
  </si>
  <si>
    <t>3860,00</t>
  </si>
  <si>
    <t>Компакт ORANGE гор.дв.слив микролфт</t>
  </si>
  <si>
    <t>15990,00</t>
  </si>
  <si>
    <t>Компакт TRENTO гор.дв.слив</t>
  </si>
  <si>
    <t>26,00</t>
  </si>
  <si>
    <t>4240,00</t>
  </si>
  <si>
    <t>Компкат BLANC гор.дв.слив микролфт</t>
  </si>
  <si>
    <t>7731,00</t>
  </si>
  <si>
    <t>Компакт NORDIC DUO гор.дв.слив микролфт</t>
  </si>
  <si>
    <t>14500,00</t>
  </si>
  <si>
    <t>007-715-010-020</t>
  </si>
  <si>
    <t>Компакт МИТОС кос.дв.слив</t>
  </si>
  <si>
    <t>5206,00</t>
  </si>
  <si>
    <t>07 Установка унитаза напольного/биде/писуара/подвесного</t>
  </si>
  <si>
    <t>007-715-010-030</t>
  </si>
  <si>
    <t>Компакт W 101 кос.один.слив</t>
  </si>
  <si>
    <t>93,00</t>
  </si>
  <si>
    <t>3420,00</t>
  </si>
  <si>
    <t>Компакт СИТИ кос.дв.слив</t>
  </si>
  <si>
    <t>30,00</t>
  </si>
  <si>
    <t>3303,00</t>
  </si>
  <si>
    <t xml:space="preserve">Компакт ЭТАЛОН кос.один.слив </t>
  </si>
  <si>
    <t>3724,00</t>
  </si>
  <si>
    <t>Компакт МИРАЖ кос.дв.слив</t>
  </si>
  <si>
    <t>237,00</t>
  </si>
  <si>
    <t>2610,00</t>
  </si>
  <si>
    <t>Компакт SUNNY гор.дв.слив микрлифт</t>
  </si>
  <si>
    <t>10464,00</t>
  </si>
  <si>
    <t>Компакт PARVA дв.слив безободк.микролфт</t>
  </si>
  <si>
    <t>7590,00</t>
  </si>
  <si>
    <t>Компакт БОРНЕО кос.дв.слив микролфт</t>
  </si>
  <si>
    <t>56,00</t>
  </si>
  <si>
    <t>5091,00</t>
  </si>
  <si>
    <t>Компакт РИНО кос.дв.слив микролфт</t>
  </si>
  <si>
    <t>89,00</t>
  </si>
  <si>
    <t>3536,00</t>
  </si>
  <si>
    <t>Компакт ТВИСТ кос.дв.слив</t>
  </si>
  <si>
    <t>57,00</t>
  </si>
  <si>
    <t>3185,00</t>
  </si>
  <si>
    <t>Компакт СТАТУС кос.дв.слив</t>
  </si>
  <si>
    <t>4326,00</t>
  </si>
  <si>
    <t>Компакт VEGA кос.один.слив</t>
  </si>
  <si>
    <t>1001651007 - ООО "Гермес Керамика"</t>
  </si>
  <si>
    <t>4900,00</t>
  </si>
  <si>
    <t>007-715-010-040</t>
  </si>
  <si>
    <t>Унитаз подв.PARVA безободк.микролфт</t>
  </si>
  <si>
    <t>6745,00</t>
  </si>
  <si>
    <t>Унитаз подв.DAMA SENSO</t>
  </si>
  <si>
    <t>7894,00</t>
  </si>
  <si>
    <t>Унитаз подв.LYRA</t>
  </si>
  <si>
    <t>2970,00</t>
  </si>
  <si>
    <t>Унитаз подв.NORDIC-3 микролифтом</t>
  </si>
  <si>
    <t>7990,00</t>
  </si>
  <si>
    <t>007-715-010-050</t>
  </si>
  <si>
    <t>ЛЦ Унитаз КАТУНЬ кос.</t>
  </si>
  <si>
    <t>164,00</t>
  </si>
  <si>
    <t>1360,00</t>
  </si>
  <si>
    <t>Унитаз  PATIO гор.дв.слив</t>
  </si>
  <si>
    <t>1003066007 - ООО "КОЛЕР РУС"</t>
  </si>
  <si>
    <t>3827,00</t>
  </si>
  <si>
    <t>Унитаз DEBBA гор.</t>
  </si>
  <si>
    <t>5036,00</t>
  </si>
  <si>
    <t>007-715-010-060</t>
  </si>
  <si>
    <t>Унитаз подв.PATIO</t>
  </si>
  <si>
    <t>5945,00</t>
  </si>
  <si>
    <t>Бачок д\унитаза модель евро с арм</t>
  </si>
  <si>
    <t>154,00</t>
  </si>
  <si>
    <t>1082,00</t>
  </si>
  <si>
    <t>ЛЦ Бачок ВЯТКА пластмас.бел.</t>
  </si>
  <si>
    <t>11007 - ООО "РемиЛинг 2000"</t>
  </si>
  <si>
    <t>456,00</t>
  </si>
  <si>
    <t>007-715-010-070</t>
  </si>
  <si>
    <t>Сиденье DAMA SENSO дюропласт микролифт</t>
  </si>
  <si>
    <t>3190,00</t>
  </si>
  <si>
    <t>Сиденье МИТОС дюропласт</t>
  </si>
  <si>
    <t>20,00</t>
  </si>
  <si>
    <t>1078,00</t>
  </si>
  <si>
    <t>Бачок  Уни с кноп. арматурой</t>
  </si>
  <si>
    <t>1100,00</t>
  </si>
  <si>
    <t>Унитаз ТОМЬ кос.</t>
  </si>
  <si>
    <t>1650,00</t>
  </si>
  <si>
    <t>Унитаз  GIRALDA гор.дв.слив</t>
  </si>
  <si>
    <t>3526,00</t>
  </si>
  <si>
    <t>Сиденье DEBBA дюропласт микролифт</t>
  </si>
  <si>
    <t>3095,00</t>
  </si>
  <si>
    <t>007-715-010-080</t>
  </si>
  <si>
    <t>Бачок PATIO ниж. подводка дв. слив</t>
  </si>
  <si>
    <t>Бачок GIRALDA дв.сл.</t>
  </si>
  <si>
    <t>13,00</t>
  </si>
  <si>
    <t>3410,00</t>
  </si>
  <si>
    <t>007-715-010-090</t>
  </si>
  <si>
    <t>Сиденье NORDIC дюропласт микролифт</t>
  </si>
  <si>
    <t>2317,00</t>
  </si>
  <si>
    <t>Сиденье PATIO дюропласт микролифт</t>
  </si>
  <si>
    <t>3162,00</t>
  </si>
  <si>
    <t>Сиденье GIRALDA дюропласт</t>
  </si>
  <si>
    <t>1746,00</t>
  </si>
  <si>
    <t>Сидение GIRALDA дюропласт микролифт</t>
  </si>
  <si>
    <t>21,00</t>
  </si>
  <si>
    <t>3023,00</t>
  </si>
  <si>
    <t>007-715-020-010</t>
  </si>
  <si>
    <t>Биде напол.САМАРСКОЕ</t>
  </si>
  <si>
    <t>-2,00</t>
  </si>
  <si>
    <t>2083,00</t>
  </si>
  <si>
    <t>Биде подв.CARINA</t>
  </si>
  <si>
    <t>5354,00</t>
  </si>
  <si>
    <t>007-715-030-010</t>
  </si>
  <si>
    <t>Биотуалет с индикатором 21Л (XGL)</t>
  </si>
  <si>
    <t>1001826007 - ООО "Лекс-С"</t>
  </si>
  <si>
    <t>5318,00</t>
  </si>
  <si>
    <t>Биотуалет с баком 21Л (XG)</t>
  </si>
  <si>
    <t>5211,00</t>
  </si>
  <si>
    <t>Биотуалет с баком 12л(MG)</t>
  </si>
  <si>
    <t>4328,00</t>
  </si>
  <si>
    <t>Биотуалет Mr. Little Ideal, 24 л</t>
  </si>
  <si>
    <t>24,00</t>
  </si>
  <si>
    <t>1003027007 - ООО "БиоСистемы"</t>
  </si>
  <si>
    <t>7822,00</t>
  </si>
  <si>
    <t>Биотуалет ENVIRO-20, 20 л</t>
  </si>
  <si>
    <t>25,00</t>
  </si>
  <si>
    <t>5271,00</t>
  </si>
  <si>
    <t>Компакт ФРЕШ кос.дв.слив микролфт</t>
  </si>
  <si>
    <t>18,00</t>
  </si>
  <si>
    <t>5813,00</t>
  </si>
  <si>
    <t>007-715-030-020</t>
  </si>
  <si>
    <t>Чистящее средство для биотуалета 0,5л</t>
  </si>
  <si>
    <t>463,00</t>
  </si>
  <si>
    <t>Туалетная жидкость B-Fresh Green 2 л.</t>
  </si>
  <si>
    <t>577,00</t>
  </si>
  <si>
    <t>Туалетная жидкость B-Fresh Blue 2 л.</t>
  </si>
  <si>
    <t>604,00</t>
  </si>
  <si>
    <t>Туалетная жидкость B-Fresh Pink 2 л.</t>
  </si>
  <si>
    <t>007-715-040-010</t>
  </si>
  <si>
    <t>Инсталляция SOLIDO с кнопкой</t>
  </si>
  <si>
    <t>41,00</t>
  </si>
  <si>
    <t>1001713007 - ООО "Гроэ"</t>
  </si>
  <si>
    <t>9270,00</t>
  </si>
  <si>
    <t>Инсталляция  ПЛАТТЕНБАУ с кнопкой</t>
  </si>
  <si>
    <t>1003067007 - ООО "ЮНИОН"</t>
  </si>
  <si>
    <t>16463,00</t>
  </si>
  <si>
    <t>Инсталляция GEBERIT с клав.Delta20 бел.</t>
  </si>
  <si>
    <t>11940,00</t>
  </si>
  <si>
    <t>007-715-040-020</t>
  </si>
  <si>
    <t>Инсталяция DUOFIX д/биде</t>
  </si>
  <si>
    <t>14648,00</t>
  </si>
  <si>
    <t>007-715-040-030</t>
  </si>
  <si>
    <t>Комплект MITOS (инсталяция,унитаз,кнопка)</t>
  </si>
  <si>
    <t>14156,00</t>
  </si>
  <si>
    <t>Комплект TIGER (инсталяция,унитаз,кнопка)</t>
  </si>
  <si>
    <t>8613,00</t>
  </si>
  <si>
    <t>Инсталляция WISA с кнопкой</t>
  </si>
  <si>
    <t>35,00</t>
  </si>
  <si>
    <t>9890,00</t>
  </si>
  <si>
    <t>Комплект SOLIDO (инсталяция,унитаз,кнопка)</t>
  </si>
  <si>
    <t>17900,00</t>
  </si>
  <si>
    <t>07 Установка рамы инсталяции</t>
  </si>
  <si>
    <t>007-720-020-010</t>
  </si>
  <si>
    <t>07 Как установить сантехнические приборы</t>
  </si>
  <si>
    <t>007-725-010-020</t>
  </si>
  <si>
    <t>Ванна чугун КОНТИНЕНТАЛЬ 150х70</t>
  </si>
  <si>
    <t>26856,00</t>
  </si>
  <si>
    <t>Ванна чугун КОНТИНЕНТАЛЬ 160х70</t>
  </si>
  <si>
    <t>28714,00</t>
  </si>
  <si>
    <t>ЛЦ Ванна чугун КЛАССИК 150х70</t>
  </si>
  <si>
    <t>9340,00</t>
  </si>
  <si>
    <t>Ванна чугун НОСТАЛЬЖИ У 150х70</t>
  </si>
  <si>
    <t>13353,00</t>
  </si>
  <si>
    <t>Ванна чугун СибирячкаУ 150х75</t>
  </si>
  <si>
    <t>15281,00</t>
  </si>
  <si>
    <t>Ручки д/ванны Сибирячка хром</t>
  </si>
  <si>
    <t>2143,00</t>
  </si>
  <si>
    <t>007-725-010-030</t>
  </si>
  <si>
    <t>Ванна чугун КОНТИНЕНТАЛЬ 170х70</t>
  </si>
  <si>
    <t>29041,00</t>
  </si>
  <si>
    <t>ЛЦ Ванна чугун ГРАЦИЯ 170х70</t>
  </si>
  <si>
    <t>75,00</t>
  </si>
  <si>
    <t>11890,00</t>
  </si>
  <si>
    <t>Ванна чугун НОСТАЛЬЖИ У 170х75</t>
  </si>
  <si>
    <t>16884,00</t>
  </si>
  <si>
    <t>Ванна чугун СибирячкаУ 170х75</t>
  </si>
  <si>
    <t>18951,00</t>
  </si>
  <si>
    <t>007-725-020-010</t>
  </si>
  <si>
    <t>Ванна акрил.LIBRA 140x70</t>
  </si>
  <si>
    <t>5346,00</t>
  </si>
  <si>
    <t>Ванна акрил LIBRA 120x70</t>
  </si>
  <si>
    <t>5320,00</t>
  </si>
  <si>
    <t>007-725-020-020</t>
  </si>
  <si>
    <t>Ванна акрил.LIBRA 150х70</t>
  </si>
  <si>
    <t>5670,00</t>
  </si>
  <si>
    <t>ЛЦ Ванна акрил РУМБА 150х70</t>
  </si>
  <si>
    <t>3560,00</t>
  </si>
  <si>
    <t>Ванна акрил ДЕЛОС 150х70</t>
  </si>
  <si>
    <t>7510,00</t>
  </si>
  <si>
    <t>Ванна акриловая Chic 150x70</t>
  </si>
  <si>
    <t>34,00</t>
  </si>
  <si>
    <t>11475,00</t>
  </si>
  <si>
    <t>Ванна акрил. NATI 150x70</t>
  </si>
  <si>
    <t>10370,00</t>
  </si>
  <si>
    <t>007-725-020-030</t>
  </si>
  <si>
    <t>Ванна акрил.LIBRA 170х70</t>
  </si>
  <si>
    <t>36,00</t>
  </si>
  <si>
    <t>5960,00</t>
  </si>
  <si>
    <t>ЛЦ Ванна акрил РУМБА 170х70</t>
  </si>
  <si>
    <t>4046,00</t>
  </si>
  <si>
    <t>Ванна акрил ДЕЛОС 170х70</t>
  </si>
  <si>
    <t>6982,00</t>
  </si>
  <si>
    <t>Ванна акриловая Chic 170x70</t>
  </si>
  <si>
    <t>11991,00</t>
  </si>
  <si>
    <t>Ванна акрил. NATI 170x70</t>
  </si>
  <si>
    <t>9527,00</t>
  </si>
  <si>
    <t>007-725-020-050</t>
  </si>
  <si>
    <t>Ванна акрил отдстоящая ВЕРСАЛЬ 170х80</t>
  </si>
  <si>
    <t>28702,00</t>
  </si>
  <si>
    <t>Ванна ИБИЦА 170х110 акрил ассим Л</t>
  </si>
  <si>
    <t>13200,00</t>
  </si>
  <si>
    <t>Ванна ИБИЦА 170х110 акрил ассим П</t>
  </si>
  <si>
    <t>007-725-020-060</t>
  </si>
  <si>
    <t>Ванна акрил угл. ПАЛАУ 120х120</t>
  </si>
  <si>
    <t>8144,00</t>
  </si>
  <si>
    <t>Ванна акрил угл.ВЕНТУРА 135х135</t>
  </si>
  <si>
    <t>10642,00</t>
  </si>
  <si>
    <t>007-725-020-070</t>
  </si>
  <si>
    <t>Ванна акрил ассим.БРАВА 150х90 Л</t>
  </si>
  <si>
    <t>9078,00</t>
  </si>
  <si>
    <t>Ванна акрил ассим.БРАВА 150х90 П</t>
  </si>
  <si>
    <t>10321,00</t>
  </si>
  <si>
    <t>Ванна акрил ассим.КУПЕР 160х100 Л</t>
  </si>
  <si>
    <t>14014,00</t>
  </si>
  <si>
    <t>Ванна акрил ассим.КУПЕР 160х100 П</t>
  </si>
  <si>
    <t>007-725-030-020</t>
  </si>
  <si>
    <t>ЛЦ Ванна сталь РИО 150x70</t>
  </si>
  <si>
    <t>45,00</t>
  </si>
  <si>
    <t>3884,00</t>
  </si>
  <si>
    <t>Ванна сталь МИЛОС 150х70</t>
  </si>
  <si>
    <t>22,00</t>
  </si>
  <si>
    <t>5987,00</t>
  </si>
  <si>
    <t>007-725-030-030</t>
  </si>
  <si>
    <t>ЛЦ Ванна сталь РИО 170x70</t>
  </si>
  <si>
    <t>4134,00</t>
  </si>
  <si>
    <t>Ванна сталь МИЛОС 170х70</t>
  </si>
  <si>
    <t>6284,00</t>
  </si>
  <si>
    <t>007-725-040-010</t>
  </si>
  <si>
    <t>Ванна гм.акрил СИЦИЛИЯ 150х70</t>
  </si>
  <si>
    <t>28430,00</t>
  </si>
  <si>
    <t>Ванна гм.акрил СИЦИЛИЯ 170х70</t>
  </si>
  <si>
    <t>30068,00</t>
  </si>
  <si>
    <t>007-725-040-020</t>
  </si>
  <si>
    <t>Ванна гм.акрил угл.МАЛЬТА 150х150</t>
  </si>
  <si>
    <t>39720,00</t>
  </si>
  <si>
    <t>007-725-040-030</t>
  </si>
  <si>
    <t>Ванна гм.акрил ассим.ЯМАЙКА 160х100 Л</t>
  </si>
  <si>
    <t>41140,00</t>
  </si>
  <si>
    <t>Ванна гм.акрил ассим.ЯМАЙКА 160х100 П</t>
  </si>
  <si>
    <t>007-725-050-010</t>
  </si>
  <si>
    <t>Ширма на ванну MEZZO фр.150X150 прозр/хр</t>
  </si>
  <si>
    <t>12007,00</t>
  </si>
  <si>
    <t>Ширма на ванну PURITY 150X150 фр.хр</t>
  </si>
  <si>
    <t>13661,00</t>
  </si>
  <si>
    <t>Ширма на ванну PURITY 170X150 фр.хр</t>
  </si>
  <si>
    <t>14397,00</t>
  </si>
  <si>
    <t>Ширма на ванну OPTIMA фр.150X150 бел</t>
  </si>
  <si>
    <t>13595,00</t>
  </si>
  <si>
    <t>Ширма на ванну OPTIMA фр.170X150 бел</t>
  </si>
  <si>
    <t>13887,00</t>
  </si>
  <si>
    <t>Ширма д/ван.OPTIMA хр.85Х140 полос</t>
  </si>
  <si>
    <t>6552,00</t>
  </si>
  <si>
    <t>Ширма д/ван.КУПЕ КАПЛИ бел.150</t>
  </si>
  <si>
    <t>5400,00</t>
  </si>
  <si>
    <t>Ширма д/ван.КУПЕ КАПЛИ бел.170</t>
  </si>
  <si>
    <t>5440,00</t>
  </si>
  <si>
    <t>Экран  п/в ПРЕМИУМ  А 1,48 крем</t>
  </si>
  <si>
    <t>1178,00</t>
  </si>
  <si>
    <t>Экран  п/в ПРЕМИУМ  А 1,68 крем</t>
  </si>
  <si>
    <t>1242,00</t>
  </si>
  <si>
    <t>007-725-050-020</t>
  </si>
  <si>
    <t>Ширма торц. д/ван.КУПЕ КАПЛИ 70</t>
  </si>
  <si>
    <t>1980,00</t>
  </si>
  <si>
    <t>007-725-060-010</t>
  </si>
  <si>
    <t>Ножки д/ван.КОНТИНЕНТАЛЬ,МАЛИБУ,ГАИТИ</t>
  </si>
  <si>
    <t>591,00</t>
  </si>
  <si>
    <t xml:space="preserve"> Ножки для ванны</t>
  </si>
  <si>
    <t>Ножки д/ванны  РИО</t>
  </si>
  <si>
    <t>784,00</t>
  </si>
  <si>
    <t>Ножки д/ванны  МИЛОС</t>
  </si>
  <si>
    <t>891,00</t>
  </si>
  <si>
    <t>Ножки  д/ванны РУМБА</t>
  </si>
  <si>
    <t>360,00</t>
  </si>
  <si>
    <t>Установочный комплект ВЕНТУРА</t>
  </si>
  <si>
    <t>1680,00</t>
  </si>
  <si>
    <t>Ножки регулируемых д/чуг. ванны</t>
  </si>
  <si>
    <t>270,00</t>
  </si>
  <si>
    <t>341,00</t>
  </si>
  <si>
    <t>Установочный комплект ИБИЦА</t>
  </si>
  <si>
    <t>4122,00</t>
  </si>
  <si>
    <t>007-725-060-020</t>
  </si>
  <si>
    <t>Фронт.панель LIBRA/ДЕЛОС 150</t>
  </si>
  <si>
    <t>1866,00</t>
  </si>
  <si>
    <t>Фронт.панель LIBRA/ДЕЛОС 170</t>
  </si>
  <si>
    <t>2025,00</t>
  </si>
  <si>
    <t>Фронт.панель ПАЛАУ 120х120</t>
  </si>
  <si>
    <t>5188,00</t>
  </si>
  <si>
    <t>Установочный комплект ПАЛАУ</t>
  </si>
  <si>
    <t>1618,00</t>
  </si>
  <si>
    <t>Фронт.панель БРАВА 150х90 Л</t>
  </si>
  <si>
    <t>4747,00</t>
  </si>
  <si>
    <t>Фронт.панель БРАВА 150х90 П</t>
  </si>
  <si>
    <t>Установочный комплект БРАВА</t>
  </si>
  <si>
    <t>Фронт.панель КУПЕР 160х100 Л</t>
  </si>
  <si>
    <t>4940,00</t>
  </si>
  <si>
    <t>Фронт.панель КУПЕР 160х100 П</t>
  </si>
  <si>
    <t>Установочный комплект КУПЕР</t>
  </si>
  <si>
    <t>Каркас LIBRA/ДЕЛОС 170х70</t>
  </si>
  <si>
    <t>1161,00</t>
  </si>
  <si>
    <t>Рама NATI 170х70</t>
  </si>
  <si>
    <t>2346,00</t>
  </si>
  <si>
    <t>Фрот.панель ВЕНТУРА 135х135</t>
  </si>
  <si>
    <t>5077,00</t>
  </si>
  <si>
    <t>Фронтальная панель для ванны Chic 150х70</t>
  </si>
  <si>
    <t>43,00</t>
  </si>
  <si>
    <t>4037,00</t>
  </si>
  <si>
    <t>Каркас в комплекте с монтажным набором Chic 150х70</t>
  </si>
  <si>
    <t>1683,00</t>
  </si>
  <si>
    <t>Каркас в комплекте с монтажным набором Chic 170х70</t>
  </si>
  <si>
    <t>1793,00</t>
  </si>
  <si>
    <t>Фронт. панель LIBRA 140</t>
  </si>
  <si>
    <t>1944,00</t>
  </si>
  <si>
    <t>Фронт. панель LIBRA 120</t>
  </si>
  <si>
    <t>Панель фронт. NATI 170</t>
  </si>
  <si>
    <t>2810,00</t>
  </si>
  <si>
    <t>Фронт.панель ИБИЦА 170х110</t>
  </si>
  <si>
    <t>4968,00</t>
  </si>
  <si>
    <t>007-725-060-025</t>
  </si>
  <si>
    <t>Экран п/в "Ультра лёгкий" белый 1,48</t>
  </si>
  <si>
    <t>213,00</t>
  </si>
  <si>
    <t>711,00</t>
  </si>
  <si>
    <t>Экран п/в "Ультра лёгк" зел иней 1,48</t>
  </si>
  <si>
    <t>888,00</t>
  </si>
  <si>
    <t>Экран п/в "Ультра лёгкий" белый 1,68</t>
  </si>
  <si>
    <t>762,00</t>
  </si>
  <si>
    <t>Экран п/в "Ультра лёгкий" роз. иней 1,68</t>
  </si>
  <si>
    <t>915,00</t>
  </si>
  <si>
    <t>Рама для экрана п/в 14,8</t>
  </si>
  <si>
    <t>358,00</t>
  </si>
  <si>
    <t>Рама для экрана п/в 16,8</t>
  </si>
  <si>
    <t>385,00</t>
  </si>
  <si>
    <t>Панели для экрана п/в 1,48 белый</t>
  </si>
  <si>
    <t>191,00</t>
  </si>
  <si>
    <t>Панели для экрана п/в 1,68 белый</t>
  </si>
  <si>
    <t>214,00</t>
  </si>
  <si>
    <t>Экран п/в ПРЕМИУМ А  1,48 зеленый</t>
  </si>
  <si>
    <t>1238,00</t>
  </si>
  <si>
    <t>Экран п/в ПРЕМИУМ А  1,68 зеленый</t>
  </si>
  <si>
    <t>1305,00</t>
  </si>
  <si>
    <t>Экран п/в ПРЕМИУМ А  1,48 сапфир</t>
  </si>
  <si>
    <t>Экран п/в ПРЕМИУМ А  1,68 сапфир</t>
  </si>
  <si>
    <t>Экран п/в "Ультра лёгкий" аква 1,68</t>
  </si>
  <si>
    <t>847,00</t>
  </si>
  <si>
    <t>Экран п/в "Ультра лёгкий" изумруд 1,48</t>
  </si>
  <si>
    <t>19,00</t>
  </si>
  <si>
    <t>822,00</t>
  </si>
  <si>
    <t>Экран п/в ПРЕМИУМ А  белый 1,48</t>
  </si>
  <si>
    <t>Экран п/в ПРЕМИУМ А  голубой 1,48</t>
  </si>
  <si>
    <t>Экран п/в ПРЕМИУМ А  голубой 1,68</t>
  </si>
  <si>
    <t>Экран п/в ПРЕМИУМ А  розовый 1,48</t>
  </si>
  <si>
    <t>Экран п/в ПРЕМИУМ А  розовый 1,68</t>
  </si>
  <si>
    <t>Экран-купе 1,69 бел</t>
  </si>
  <si>
    <t>3066,00</t>
  </si>
  <si>
    <t>Экран п/в "Премиум Арт" 1,48 №3</t>
  </si>
  <si>
    <t>1893,00</t>
  </si>
  <si>
    <t>Экран п/в "Премиум Арт" 1,68 №2</t>
  </si>
  <si>
    <t>007-725-060-030</t>
  </si>
  <si>
    <t>Установочный комплект LIBRA</t>
  </si>
  <si>
    <t>07 Установка ванны акрил/сталь/чугунной/гидромассаж</t>
  </si>
  <si>
    <t>007-730-010-010</t>
  </si>
  <si>
    <t>Душ. кабина ZIA 120х80 низ.под. П</t>
  </si>
  <si>
    <t>24530,00</t>
  </si>
  <si>
    <t>Душ. кабина ZIA 120х80 низ.под. Л</t>
  </si>
  <si>
    <t>Душ. каб. Крито 90х90</t>
  </si>
  <si>
    <t>21331,00</t>
  </si>
  <si>
    <t>007-730-010-020</t>
  </si>
  <si>
    <t>Кабина МАКАО 90Х90 1/4 кр.низ.под.3кор.</t>
  </si>
  <si>
    <t>16143,00</t>
  </si>
  <si>
    <t>Кабина МАКАО 80х80 1/4 кр.низ.под.3кор.</t>
  </si>
  <si>
    <t>16200,00</t>
  </si>
  <si>
    <t>Кабина Керкира 90х90 1/4 кр. выс.поддон</t>
  </si>
  <si>
    <t>22657,00</t>
  </si>
  <si>
    <t>Кабина Аркуди 90х90  1/4 кр.низ.поддон</t>
  </si>
  <si>
    <t>24354,00</t>
  </si>
  <si>
    <t>ПО Кабина LISA  90X90 1/4 круга выс. под.</t>
  </si>
  <si>
    <t>P</t>
  </si>
  <si>
    <t>19190,00</t>
  </si>
  <si>
    <t>Кабина TIRA NEW 85X85  1/4 круга выс. под.</t>
  </si>
  <si>
    <t>17525,00</t>
  </si>
  <si>
    <t>Кабина NOA 1/4 кр. 90х90, выс. под.</t>
  </si>
  <si>
    <t>21890,00</t>
  </si>
  <si>
    <t>Кабина NOA 1/4 кр. 90х90, низ. под.</t>
  </si>
  <si>
    <t>21670,00</t>
  </si>
  <si>
    <t>Кабина IVON 1/4 кр. 90х90 выс. под.</t>
  </si>
  <si>
    <t>29590,00</t>
  </si>
  <si>
    <t>Кабина IVON 1/4 кр. 100х100 выс. под.</t>
  </si>
  <si>
    <t>30030,00</t>
  </si>
  <si>
    <t>Кабина  IVON 1/4 кр.90х90 низ. под.</t>
  </si>
  <si>
    <t>31790,00</t>
  </si>
  <si>
    <t>Душ. кабина ZIA 90х90 выс. под</t>
  </si>
  <si>
    <t>21230,00</t>
  </si>
  <si>
    <t>Душ. кабина ZIA 80х80 выс. под</t>
  </si>
  <si>
    <t>20240,00</t>
  </si>
  <si>
    <t>Душ. каб Macao Tetto 90 низ. под.</t>
  </si>
  <si>
    <t>15400,00</t>
  </si>
  <si>
    <t>Душ. каб Macao Tetto 90 выс. под.</t>
  </si>
  <si>
    <t>Душ. ширма MIKA 1/4 кр. 90х90 низ. под.</t>
  </si>
  <si>
    <t>007-730-010-040</t>
  </si>
  <si>
    <t>Кабина Родос 120х80  асим.выс.под Л</t>
  </si>
  <si>
    <t>22018,00</t>
  </si>
  <si>
    <t>Кабина NOA 120x80 выс. под. Правая</t>
  </si>
  <si>
    <t>24860,00</t>
  </si>
  <si>
    <t>Кабина NOA 120x80 выс. под. Левая</t>
  </si>
  <si>
    <t>07 Установка душевой кабины/с</t>
  </si>
  <si>
    <t>007-730-020-020</t>
  </si>
  <si>
    <t>Кабина гм.АЛЬТРО 90х90 1/4кр.выс.под.4к</t>
  </si>
  <si>
    <t>32688,00</t>
  </si>
  <si>
    <t>Кабина гм.АЛЬТРО 100х100 1/4кр.выс.под4к</t>
  </si>
  <si>
    <t>35178,00</t>
  </si>
  <si>
    <t>Кабина гм.АЛЬТРО 90х90 1/4 кр.низ.под.4к</t>
  </si>
  <si>
    <t>32533,00</t>
  </si>
  <si>
    <t>Кабина гм.РАНЧО 90х90 1/4кр.низ.под.4кор</t>
  </si>
  <si>
    <t>16880,00</t>
  </si>
  <si>
    <t>кабина DANA 1/4 кр. 100х100 выс. под. с г/м</t>
  </si>
  <si>
    <t>34650,00</t>
  </si>
  <si>
    <t>Кабина DANA 1/4 rh/ 90x90 выс. под. с г/м</t>
  </si>
  <si>
    <t>Душ. каб. Вика 90х90 выс.под. гм</t>
  </si>
  <si>
    <t>16098,00</t>
  </si>
  <si>
    <t>Душ. каб. Вика 90х90 низ.под. гм</t>
  </si>
  <si>
    <t>15621,00</t>
  </si>
  <si>
    <t>Душ. каб. Манго 90х90 выс.под. гм</t>
  </si>
  <si>
    <t>17830,00</t>
  </si>
  <si>
    <t>Душ. каб. Манго 90х90 низ.под. гм</t>
  </si>
  <si>
    <t>16737,00</t>
  </si>
  <si>
    <t>Душ. каб. MIRWELL 90х90 выс.под. гм</t>
  </si>
  <si>
    <t>1002913007 - ООО "Планета Сантехники"</t>
  </si>
  <si>
    <t>23700,00</t>
  </si>
  <si>
    <t>Кабина ALICE 1/4 кр. 90х90 низ. под. с гм</t>
  </si>
  <si>
    <t>15703,00</t>
  </si>
  <si>
    <t>007-730-030-010</t>
  </si>
  <si>
    <t>Душ верх без подсветки 150мм MR БЛИСТЕР</t>
  </si>
  <si>
    <t>450,00</t>
  </si>
  <si>
    <t>007-730-030-030</t>
  </si>
  <si>
    <t xml:space="preserve"> Ширма д/ван MEZZO  140X85X5, прозр/хр</t>
  </si>
  <si>
    <t>5797,00</t>
  </si>
  <si>
    <t>007-735-010-010</t>
  </si>
  <si>
    <t>Шланг металл 1,5 м</t>
  </si>
  <si>
    <t>99,00</t>
  </si>
  <si>
    <t>377,00</t>
  </si>
  <si>
    <t>Шланг металл  1,75м бронза</t>
  </si>
  <si>
    <t>758,00</t>
  </si>
  <si>
    <t>ЛЦ Шланг д/душа имп-имп метелл 1,5м</t>
  </si>
  <si>
    <t>546,00</t>
  </si>
  <si>
    <t>1001709007 - ЗАО завод "Молот"</t>
  </si>
  <si>
    <t>80,00</t>
  </si>
  <si>
    <t>Шланг д/душа рус-имп металл 1,5м</t>
  </si>
  <si>
    <t>176,00</t>
  </si>
  <si>
    <t>Шланг д/душа металл 1,5м</t>
  </si>
  <si>
    <t>88,00</t>
  </si>
  <si>
    <t>S</t>
  </si>
  <si>
    <t>162,00</t>
  </si>
  <si>
    <t>Шланг д/душа ЭЛИТ PVS 1,5 м</t>
  </si>
  <si>
    <t>346,00</t>
  </si>
  <si>
    <t>Шланг д/душа метал.1,2-1,5 м</t>
  </si>
  <si>
    <t>52,00</t>
  </si>
  <si>
    <t>297,00</t>
  </si>
  <si>
    <t>Шланг д/душа метал.1-1.2 м</t>
  </si>
  <si>
    <t>261,00</t>
  </si>
  <si>
    <t>Шланг д/душа VITALIOFLEX металл 1,75 м</t>
  </si>
  <si>
    <t>1867,00</t>
  </si>
  <si>
    <t>Шланг д/душа VBHose</t>
  </si>
  <si>
    <t>298,00</t>
  </si>
  <si>
    <t>Шланг д/душа метал 0,6 м. хром</t>
  </si>
  <si>
    <t>181,00</t>
  </si>
  <si>
    <t>007-735-010-020</t>
  </si>
  <si>
    <t>Душ.шланг Metaflex C PVC 2м полимер</t>
  </si>
  <si>
    <t>1075,00</t>
  </si>
  <si>
    <t>Душ.шланг MetaflexC PVC 1,6м полимер</t>
  </si>
  <si>
    <t>866,00</t>
  </si>
  <si>
    <t>Душевой шланг IsiflexB PVC 1,5 м</t>
  </si>
  <si>
    <t>1524,00</t>
  </si>
  <si>
    <t>Душевой шланг IsiflexB PVC 2м</t>
  </si>
  <si>
    <t>1760,00</t>
  </si>
  <si>
    <t>Душевой шланг Metaflex PVC 1,5м</t>
  </si>
  <si>
    <t>1027,00</t>
  </si>
  <si>
    <t>Шланг д/душа 2 м PVC бел</t>
  </si>
  <si>
    <t>327,00</t>
  </si>
  <si>
    <t>Шланг д/душа PVC 1,75 м хром</t>
  </si>
  <si>
    <t>102,00</t>
  </si>
  <si>
    <t>300,00</t>
  </si>
  <si>
    <t>Шланг д/душа ЭЛИТ метал 1,5м</t>
  </si>
  <si>
    <t>217,00</t>
  </si>
  <si>
    <t>Шланг д/душа PVC 1,5 м</t>
  </si>
  <si>
    <t>58,00</t>
  </si>
  <si>
    <t>275,00</t>
  </si>
  <si>
    <t>Шланг д/душа VITALIOFLEX PVC 1,5 м</t>
  </si>
  <si>
    <t>51,00</t>
  </si>
  <si>
    <t>1262,00</t>
  </si>
  <si>
    <t>Шланг д/душа VITALIOFLEX PVC 1,75 м</t>
  </si>
  <si>
    <t>Шланг д/душа METAFLEX PVC 1,25 м</t>
  </si>
  <si>
    <t>803,00</t>
  </si>
  <si>
    <t>007-735-010-030</t>
  </si>
  <si>
    <t>Комплект аэраторов 2 шт.</t>
  </si>
  <si>
    <t>783,00</t>
  </si>
  <si>
    <t>007-735-020-010</t>
  </si>
  <si>
    <t>Душ лейка Кея 1 реж хр</t>
  </si>
  <si>
    <t>251,00</t>
  </si>
  <si>
    <t>225,00</t>
  </si>
  <si>
    <t>Душ лейка Левита 3 реж хр</t>
  </si>
  <si>
    <t>582,00</t>
  </si>
  <si>
    <t>Душ лейка Verso  Vario 4 реж хр</t>
  </si>
  <si>
    <t>3361,00</t>
  </si>
  <si>
    <t>Гиг лейка  Итака</t>
  </si>
  <si>
    <t>120,00</t>
  </si>
  <si>
    <t>325,00</t>
  </si>
  <si>
    <t>Душ лейка Switch 2реж хр</t>
  </si>
  <si>
    <t>Душ лейка Самба 3 реж хр</t>
  </si>
  <si>
    <t>260,00</t>
  </si>
  <si>
    <t>160,00</t>
  </si>
  <si>
    <t>Душ лейка Исабела 3 реж хр</t>
  </si>
  <si>
    <t>378,00</t>
  </si>
  <si>
    <t>Душ лейка Rotella 3 реж хр</t>
  </si>
  <si>
    <t>608,00</t>
  </si>
  <si>
    <t>Душ лейка Juvo 3 реж хр</t>
  </si>
  <si>
    <t>638,00</t>
  </si>
  <si>
    <t>Душ лейка Orange 5 реж хр</t>
  </si>
  <si>
    <t>3506,00</t>
  </si>
  <si>
    <t>Лейка душ Jump 5 реж хр</t>
  </si>
  <si>
    <t>39,00</t>
  </si>
  <si>
    <t>2186,00</t>
  </si>
  <si>
    <t>Душ лейка Contour 5 реж хр</t>
  </si>
  <si>
    <t>1002791007 - ООО "ФУНКЦИОНАЛЬНЫЕ  РЕШЕНИЯ"</t>
  </si>
  <si>
    <t>2660,00</t>
  </si>
  <si>
    <t>Душ лейка Contour 3 реж хр</t>
  </si>
  <si>
    <t>2098,00</t>
  </si>
  <si>
    <t>Душ лейка VitalioComfort 3 реж</t>
  </si>
  <si>
    <t>2281,00</t>
  </si>
  <si>
    <t>Душ лейка Бостон 2 реж хр</t>
  </si>
  <si>
    <t>246,00</t>
  </si>
  <si>
    <t>Душ лейка Грация 5 реж хр</t>
  </si>
  <si>
    <t>292,00</t>
  </si>
  <si>
    <t>268,00</t>
  </si>
  <si>
    <t>Душ лейка Танго 4 реж хр</t>
  </si>
  <si>
    <t>262,00</t>
  </si>
  <si>
    <t>Душ лейка FERRARA 7 реж</t>
  </si>
  <si>
    <t>104,00</t>
  </si>
  <si>
    <t>Душ лейка Cerifico 3 реж хр</t>
  </si>
  <si>
    <t>229,00</t>
  </si>
  <si>
    <t>313,00</t>
  </si>
  <si>
    <t>Душ лейка Verso mono 1 реж хр</t>
  </si>
  <si>
    <t>2456,00</t>
  </si>
  <si>
    <t>Душ лейка Sunny 1 реж</t>
  </si>
  <si>
    <t>31,00</t>
  </si>
  <si>
    <t>1416,00</t>
  </si>
  <si>
    <t>Душ лейка Cromo Puro Vario 2 реж</t>
  </si>
  <si>
    <t>1098,00</t>
  </si>
  <si>
    <t>Душ лейка Cromo Puro Multi 3 реж</t>
  </si>
  <si>
    <t>1911,00</t>
  </si>
  <si>
    <t>Комплект гиг.душ.BRISSEN 1.2 м.хр.</t>
  </si>
  <si>
    <t>1002224007 - ООО "Гидрофорс Груп"</t>
  </si>
  <si>
    <t>Комплект гиг.душ.BRISSEN L 1.2 м.хр.</t>
  </si>
  <si>
    <t>868,00</t>
  </si>
  <si>
    <t>Душ.лейка PAOLA 3 реж.хр.</t>
  </si>
  <si>
    <t>76,00</t>
  </si>
  <si>
    <t>368,00</t>
  </si>
  <si>
    <t>Душ.лейка ANIMA 3  реж.хр.</t>
  </si>
  <si>
    <t>71,00</t>
  </si>
  <si>
    <t>434,00</t>
  </si>
  <si>
    <t>Душ.лейка SWEBDE HARMONY 5 реж.хр</t>
  </si>
  <si>
    <t>1002412007 - ООО"Мора Трейдинг"</t>
  </si>
  <si>
    <t>1108,00</t>
  </si>
  <si>
    <t>007-735-020-020</t>
  </si>
  <si>
    <t>Душ набор Verso 4 реж хр</t>
  </si>
  <si>
    <t>4548,00</t>
  </si>
  <si>
    <t>Душ набор Исабела 3 реж хр</t>
  </si>
  <si>
    <t>652,00</t>
  </si>
  <si>
    <t>Душ набор Rotella 3 реж хр</t>
  </si>
  <si>
    <t>838,00</t>
  </si>
  <si>
    <t>Душ набор Juvo 3реж хр</t>
  </si>
  <si>
    <t>1104,00</t>
  </si>
  <si>
    <t>Душ набор FERRARA 7 реж хр</t>
  </si>
  <si>
    <t>105,00</t>
  </si>
  <si>
    <t>585,00</t>
  </si>
  <si>
    <t>Душ набор Verso mono 1 реж хр</t>
  </si>
  <si>
    <t>4892,00</t>
  </si>
  <si>
    <t>Душевой набор Contour 5 реж</t>
  </si>
  <si>
    <t>4245,00</t>
  </si>
  <si>
    <t>Душ набор Contour 3 реж</t>
  </si>
  <si>
    <t>3951,00</t>
  </si>
  <si>
    <t>Душ набор VitalioComfort 3 реж</t>
  </si>
  <si>
    <t>3450,00</t>
  </si>
  <si>
    <t>Душ.набор SWEBDE HARMONY 5 реж.хр</t>
  </si>
  <si>
    <t>2372,00</t>
  </si>
  <si>
    <t>Душ.набор ANIMA 3 реж.хр.</t>
  </si>
  <si>
    <t>69,00</t>
  </si>
  <si>
    <t>764,00</t>
  </si>
  <si>
    <t>Душ.набор ALAMO 3 реж.</t>
  </si>
  <si>
    <t>1002933007 - ООО "Альтерра"</t>
  </si>
  <si>
    <t>437,00</t>
  </si>
  <si>
    <t>Душ.набор LOGIS 3 в 1</t>
  </si>
  <si>
    <t>007-735-020-030</t>
  </si>
  <si>
    <t>Душ комплект FERRARA 7 реж хр</t>
  </si>
  <si>
    <t>94,00</t>
  </si>
  <si>
    <t>1244,00</t>
  </si>
  <si>
    <t>Душ комплект Исабела 3 реж хр</t>
  </si>
  <si>
    <t>1418,00</t>
  </si>
  <si>
    <t>Душ комплект Verso  4реж хр</t>
  </si>
  <si>
    <t>6397,00</t>
  </si>
  <si>
    <t>Комплект душ Rotella 3 реж хр</t>
  </si>
  <si>
    <t>1784,00</t>
  </si>
  <si>
    <t>Комплект душ Juvo 3 реж хр</t>
  </si>
  <si>
    <t>Душ комплект Contour 3 реж хр</t>
  </si>
  <si>
    <t>5491,00</t>
  </si>
  <si>
    <t>Душ комплект Orange 5 реж хр</t>
  </si>
  <si>
    <t>7028,00</t>
  </si>
  <si>
    <t>Душ комплект Verso mono 1 реж хр</t>
  </si>
  <si>
    <t>6823,00</t>
  </si>
  <si>
    <t>Душ комплект Jump 5 реж</t>
  </si>
  <si>
    <t>5328,00</t>
  </si>
  <si>
    <t>Душ комплект Contour 5 реж</t>
  </si>
  <si>
    <t>5605,00</t>
  </si>
  <si>
    <t>Душ комплект Sunny 1 реж</t>
  </si>
  <si>
    <t>3918,00</t>
  </si>
  <si>
    <t>Душ комп Croma Puro Vario 65 см 2 реж</t>
  </si>
  <si>
    <t>3741,00</t>
  </si>
  <si>
    <t>Душевой комплект Croma Puro Multi 65 см</t>
  </si>
  <si>
    <t>4923,00</t>
  </si>
  <si>
    <t>Душ комп Croma Puro Mono 65 см 1 реж</t>
  </si>
  <si>
    <t>4133,00</t>
  </si>
  <si>
    <t>Душ.комплект BRISSEN 60 см.хр.</t>
  </si>
  <si>
    <t>1773,00</t>
  </si>
  <si>
    <t>Душ.набор EVOL 3 реж.хр</t>
  </si>
  <si>
    <t>880,00</t>
  </si>
  <si>
    <t>Душ.набор VITALIO GO 1 реж</t>
  </si>
  <si>
    <t>2360,00</t>
  </si>
  <si>
    <t>Душ.комплект IDEALRAIN CUBE M3 3 реж.хр</t>
  </si>
  <si>
    <t>4011,00</t>
  </si>
  <si>
    <t>ЛЦ Комплект д/душа 1 реж хр</t>
  </si>
  <si>
    <t>494,00</t>
  </si>
  <si>
    <t>390,00</t>
  </si>
  <si>
    <t>Душ.комплект ALAMO 3 реж.</t>
  </si>
  <si>
    <t>Душ.комплект VALLE 1 реж.</t>
  </si>
  <si>
    <t>1045,00</t>
  </si>
  <si>
    <t>Душ.комплект с верхним душем LOCCA</t>
  </si>
  <si>
    <t>2628,00</t>
  </si>
  <si>
    <t>Душ.комплект CROMETTA VARIO 2 реж.хр</t>
  </si>
  <si>
    <t>2990,00</t>
  </si>
  <si>
    <t>ПО Душ.комплект FRESH душ.1 реж.хр</t>
  </si>
  <si>
    <t>1990,00</t>
  </si>
  <si>
    <t>007-735-020-040</t>
  </si>
  <si>
    <t>Душ комплект Orange 90 см 5реж хр</t>
  </si>
  <si>
    <t>7078,00</t>
  </si>
  <si>
    <t>Душ.набор PLAY 5 реж.хр</t>
  </si>
  <si>
    <t>113,00</t>
  </si>
  <si>
    <t>Душ.набор DOCCE 5реж.хр</t>
  </si>
  <si>
    <t>836,00</t>
  </si>
  <si>
    <t>007-735-020-050</t>
  </si>
  <si>
    <t>Душ.комплект PLAY 5 реж.хр</t>
  </si>
  <si>
    <t>2172,00</t>
  </si>
  <si>
    <t>Душ.комплект EVOL 3 реж.хр</t>
  </si>
  <si>
    <t>1974,00</t>
  </si>
  <si>
    <t>Душ.комплект DOCCE  5 реж.хр</t>
  </si>
  <si>
    <t>379,00</t>
  </si>
  <si>
    <t>1584,00</t>
  </si>
  <si>
    <t>Душ.комплект ANIMA  3 реж.хр.</t>
  </si>
  <si>
    <t>1503,00</t>
  </si>
  <si>
    <t>Душ.комплект VITALIO GO 1 реж</t>
  </si>
  <si>
    <t>3493,00</t>
  </si>
  <si>
    <t>Душ.комплект VERSO SELECT MULTI 3 реж.хр</t>
  </si>
  <si>
    <t>6903,00</t>
  </si>
  <si>
    <t>Душ.комплект VERSO SELECT VARIO2 реж.хр</t>
  </si>
  <si>
    <t>6153,00</t>
  </si>
  <si>
    <t>Душ.комплект VERSO SELECT 1jet 1 реж.хр</t>
  </si>
  <si>
    <t>5461,00</t>
  </si>
  <si>
    <t>007-735-030-010</t>
  </si>
  <si>
    <t>Душ.лейка BRISSEN 3 реж.хр.</t>
  </si>
  <si>
    <t>68,00</t>
  </si>
  <si>
    <t>Душ.лейка EVOL 3 реж.хр</t>
  </si>
  <si>
    <t>44,00</t>
  </si>
  <si>
    <t>511,00</t>
  </si>
  <si>
    <t>ЛЦ Душ.лейка УЮТ 1 реж.</t>
  </si>
  <si>
    <t>754,00</t>
  </si>
  <si>
    <t>Душ.лейка VITALIO GO 1 реж</t>
  </si>
  <si>
    <t>1234,00</t>
  </si>
  <si>
    <t>Душ.лейка VERSO SELECT MULTI 3 реж.хр</t>
  </si>
  <si>
    <t>3586,00</t>
  </si>
  <si>
    <t>Душ.лейка VERSO SELECT VARIO 2 реж.хр</t>
  </si>
  <si>
    <t>3148,00</t>
  </si>
  <si>
    <t>007-735-030-020</t>
  </si>
  <si>
    <t>Гиг набор AM-PM</t>
  </si>
  <si>
    <t>3836,00</t>
  </si>
  <si>
    <t>Гиг лейка HG + держатель</t>
  </si>
  <si>
    <t>3181,00</t>
  </si>
  <si>
    <t>Душ.гигиен.FORZA пласт.со шлангом хр</t>
  </si>
  <si>
    <t>1002607007 - ООО "Гриф"</t>
  </si>
  <si>
    <t>1661,00</t>
  </si>
  <si>
    <t>Душ гигиен.ARIA латунь с шлангом хр</t>
  </si>
  <si>
    <t>2644,00</t>
  </si>
  <si>
    <t>Душ.лейка  DOCCE 5 реж.хр</t>
  </si>
  <si>
    <t>Гигиен.набор BAUFLOW</t>
  </si>
  <si>
    <t>7410,00</t>
  </si>
  <si>
    <t>Гигиен.наборTRIGGER SPRAY 1 реж</t>
  </si>
  <si>
    <t>2651,00</t>
  </si>
  <si>
    <t>007-735-040-010</t>
  </si>
  <si>
    <t>Штанга д/душа Standart 60см</t>
  </si>
  <si>
    <t>1635,00</t>
  </si>
  <si>
    <t>Штанга д/душа Докос 60см</t>
  </si>
  <si>
    <t>650,00</t>
  </si>
  <si>
    <t>Штанга д/душа Unica Crometta</t>
  </si>
  <si>
    <t>3246,00</t>
  </si>
  <si>
    <t>Штанга д/душа Родос 55 см хр</t>
  </si>
  <si>
    <t>Мыльница д/душ штанги</t>
  </si>
  <si>
    <t>1002206007 - ООО "Мастерпол"</t>
  </si>
  <si>
    <t>564,00</t>
  </si>
  <si>
    <t>Душ.стойка STELLA 60</t>
  </si>
  <si>
    <t>007-735-040-020</t>
  </si>
  <si>
    <t>Крепление душевой лейки  хр</t>
  </si>
  <si>
    <t>240,00</t>
  </si>
  <si>
    <t>96,00</t>
  </si>
  <si>
    <t>Крепление д/душа хр</t>
  </si>
  <si>
    <t>112,00</t>
  </si>
  <si>
    <t>50,00</t>
  </si>
  <si>
    <t>Крепление д/душа Bracket  поворотный</t>
  </si>
  <si>
    <t>161,00</t>
  </si>
  <si>
    <t>Держатель лейки BRISSEN хр.</t>
  </si>
  <si>
    <t>107,00</t>
  </si>
  <si>
    <t>Шланговое подсоединение FIXFIT</t>
  </si>
  <si>
    <t>1570,00</t>
  </si>
  <si>
    <t>007-735-050-010</t>
  </si>
  <si>
    <t>Комплект с верхним душем Caskada хр</t>
  </si>
  <si>
    <t>33,00</t>
  </si>
  <si>
    <t>3723,00</t>
  </si>
  <si>
    <t>Комплект с верхним душем TELIO хр</t>
  </si>
  <si>
    <t>7034,00</t>
  </si>
  <si>
    <t>Комплект с верхним душем Akita</t>
  </si>
  <si>
    <t>14594,00</t>
  </si>
  <si>
    <t>Комплект с верхним душем Brissen d-20 хр</t>
  </si>
  <si>
    <t>5628,00</t>
  </si>
  <si>
    <t xml:space="preserve"> Компл.с верх душем б/смес ESKO 5 реж</t>
  </si>
  <si>
    <t>5734,00</t>
  </si>
  <si>
    <t>Комплект с верхним душем NEREA</t>
  </si>
  <si>
    <t>2497,00</t>
  </si>
  <si>
    <t>Комплект с верхним душем ULA</t>
  </si>
  <si>
    <t>3245,00</t>
  </si>
  <si>
    <t>007-735-050-020</t>
  </si>
  <si>
    <t>Комплект с верхним душем Florina хр</t>
  </si>
  <si>
    <t>10994,00</t>
  </si>
  <si>
    <t>Комплект с верхним душем LUKA хр</t>
  </si>
  <si>
    <t>9367,00</t>
  </si>
  <si>
    <t>Душ.стойка BRISSEN 60 см.хр.</t>
  </si>
  <si>
    <t>90,00</t>
  </si>
  <si>
    <t>Верхний душ OTTO 911cr со смесителем</t>
  </si>
  <si>
    <t>1003191007 - ООО "Омебель"</t>
  </si>
  <si>
    <t>15215,00</t>
  </si>
  <si>
    <t>Комплект с верхним душем ГАРДЕНИЯ</t>
  </si>
  <si>
    <t>4718,00</t>
  </si>
  <si>
    <t>007-735-060-010</t>
  </si>
  <si>
    <t>Душ панель Spout хр</t>
  </si>
  <si>
    <t>6086,00</t>
  </si>
  <si>
    <t>007-735-060-020</t>
  </si>
  <si>
    <t>Душ панель Steel сталь хр</t>
  </si>
  <si>
    <t>7620,00</t>
  </si>
  <si>
    <t>007-735-070-010</t>
  </si>
  <si>
    <t>Душ головка S Water-4  эконом воды 10,6 см</t>
  </si>
  <si>
    <t>535,00</t>
  </si>
  <si>
    <t>Душ головка Rotella 17,5 см</t>
  </si>
  <si>
    <t>827,00</t>
  </si>
  <si>
    <t>Душ головка Pipas</t>
  </si>
  <si>
    <t>Душ головка Dynamic 22 х 22</t>
  </si>
  <si>
    <t>1438,00</t>
  </si>
  <si>
    <t>007-735-070-020</t>
  </si>
  <si>
    <t>Излив д/верх душа 20*520</t>
  </si>
  <si>
    <t>653,00</t>
  </si>
  <si>
    <t>Излив д/верх душа 20*400</t>
  </si>
  <si>
    <t>492,00</t>
  </si>
  <si>
    <t>007-740-010-010</t>
  </si>
  <si>
    <t>Смеситель д/рак.ШАРМИ 2 вент.хр</t>
  </si>
  <si>
    <t>3336,00</t>
  </si>
  <si>
    <t>Смеситель д/рак.СМАРТ ПРЕСТИЖ 2 вент хр</t>
  </si>
  <si>
    <t>1000328007 - ООО "Евросток"</t>
  </si>
  <si>
    <t>4363,00</t>
  </si>
  <si>
    <t>Смеситель д/рак.MODERN 2 вент.хр.</t>
  </si>
  <si>
    <t>4316,00</t>
  </si>
  <si>
    <t>ПО Смеситель д/рак.LIFE 2 вент.</t>
  </si>
  <si>
    <t>1500,00</t>
  </si>
  <si>
    <t>007-740-010-020</t>
  </si>
  <si>
    <t>Смеситель д/ван.ШАРМИ 2 вент.хр</t>
  </si>
  <si>
    <t>Смеситель д/ван.СМАРТ ПРЕСТИЖ 2 вент.хр</t>
  </si>
  <si>
    <t>5676,00</t>
  </si>
  <si>
    <t>Смеситель д/ван.GARA 2 вент.хр</t>
  </si>
  <si>
    <t>2772,00</t>
  </si>
  <si>
    <t>Смеситель д/ван.NEGA однорыч.хр</t>
  </si>
  <si>
    <t>139,00</t>
  </si>
  <si>
    <t>1697,00</t>
  </si>
  <si>
    <t>Смеситель д/ван.MODERN 2 вент.хр.</t>
  </si>
  <si>
    <t>007-740-010-030</t>
  </si>
  <si>
    <t>Смес д/душа Шарми хром 2вент</t>
  </si>
  <si>
    <t>2381,00</t>
  </si>
  <si>
    <t>Смес д/душ Смарт Престиж 2вент хр</t>
  </si>
  <si>
    <t>4084,00</t>
  </si>
  <si>
    <t>Смеситель д/душа NEGA однорыч.хр</t>
  </si>
  <si>
    <t>1767,00</t>
  </si>
  <si>
    <t>007-740-010-050</t>
  </si>
  <si>
    <t>Смес д/раковины Шарми золото 2вент</t>
  </si>
  <si>
    <t>2835,00</t>
  </si>
  <si>
    <t>Смеситель д/рак.ШАРМИ 2 вент.бронза</t>
  </si>
  <si>
    <t>4098,00</t>
  </si>
  <si>
    <t>007-740-010-060</t>
  </si>
  <si>
    <t>Смес д/ванны Шарми золото 2 вент</t>
  </si>
  <si>
    <t>3200,00</t>
  </si>
  <si>
    <t>Смеситель д/ван.ШАРМИ 2 вент.бронза</t>
  </si>
  <si>
    <t>5647,00</t>
  </si>
  <si>
    <t>Смеситель д/ван.ЭММИ однорыч.бронза</t>
  </si>
  <si>
    <t>4608,00</t>
  </si>
  <si>
    <t>007-740-010-070</t>
  </si>
  <si>
    <t>Смес д/душа Шарми золото 2вент</t>
  </si>
  <si>
    <t>1998,00</t>
  </si>
  <si>
    <t>Смес д/душа Шарми бронза 2вент</t>
  </si>
  <si>
    <t>2800,00</t>
  </si>
  <si>
    <t>007-740-015-010</t>
  </si>
  <si>
    <t>Смеситель д/рак.AVISTA однорыч.хр</t>
  </si>
  <si>
    <t>5932,00</t>
  </si>
  <si>
    <t>Смеситель д/рак.ECOS однорыч.хр</t>
  </si>
  <si>
    <t>6328,00</t>
  </si>
  <si>
    <t>Смес д/душа Смарт-Тренд хр 1вент</t>
  </si>
  <si>
    <t>4496,00</t>
  </si>
  <si>
    <t>Смес д/раковины Смарт-Тренд хр 1вент</t>
  </si>
  <si>
    <t>3503,00</t>
  </si>
  <si>
    <t>Смес д/рак Смарт-Тренд хр.пов изл 1вент</t>
  </si>
  <si>
    <t>2942,00</t>
  </si>
  <si>
    <t>Смеситель д/рак.PRIDE однорыч.хр</t>
  </si>
  <si>
    <t>49,00</t>
  </si>
  <si>
    <t>6374,00</t>
  </si>
  <si>
    <t>Смес д/рак Pride хром гиг душ 1вент</t>
  </si>
  <si>
    <t>10991,00</t>
  </si>
  <si>
    <t>Смес д/раковины Игги хром 1вент</t>
  </si>
  <si>
    <t>Смес д/раковины высокий Игги хром 1вент</t>
  </si>
  <si>
    <t>3524,00</t>
  </si>
  <si>
    <t>Смес д/душа Игги хром 1вент</t>
  </si>
  <si>
    <t>1822,00</t>
  </si>
  <si>
    <t>Смес д/раковины Luka хром 1вент</t>
  </si>
  <si>
    <t>2463,00</t>
  </si>
  <si>
    <t>Смес д/раковины выс Luka хром 1вент</t>
  </si>
  <si>
    <t>2490,00</t>
  </si>
  <si>
    <t>Смеситель д/рак.ЭММИ однорыч.хр</t>
  </si>
  <si>
    <t>2738,00</t>
  </si>
  <si>
    <t>Смеситель д/раковин Ecos с гигиен.душ</t>
  </si>
  <si>
    <t>7862,00</t>
  </si>
  <si>
    <t>Смеситель д/раковины Ecos L</t>
  </si>
  <si>
    <t>8357,00</t>
  </si>
  <si>
    <t>Смеситель д/рак.JUMP однорыч.хр</t>
  </si>
  <si>
    <t>8236,00</t>
  </si>
  <si>
    <t>Смеситель д/рак.IKARIA однорыч.хр</t>
  </si>
  <si>
    <t>2218,00</t>
  </si>
  <si>
    <t>Смеситель д/рак.STYLE однорыч.хр</t>
  </si>
  <si>
    <t>1003195007 - ООО "Фиксен-трейд"</t>
  </si>
  <si>
    <t>2747,00</t>
  </si>
  <si>
    <t>Смеситель д/рак.FERRARA однорыч.хр</t>
  </si>
  <si>
    <t>226,00</t>
  </si>
  <si>
    <t>1085,00</t>
  </si>
  <si>
    <t>Смеситель д/раковины  SIEGER 1 вент</t>
  </si>
  <si>
    <t>Смеситель д/раковины STARR 1вент</t>
  </si>
  <si>
    <t>2715,00</t>
  </si>
  <si>
    <t>Смеситель д/рак.ORANGE однорыч.хр</t>
  </si>
  <si>
    <t>9235,00</t>
  </si>
  <si>
    <t>ЛЦ Смеситель д/рак.FT53 однорыч.хр</t>
  </si>
  <si>
    <t>178,00</t>
  </si>
  <si>
    <t>306,00</t>
  </si>
  <si>
    <t>Смеситель д/рак.SWEBDE FLORA однорыч.хр</t>
  </si>
  <si>
    <t>5115,00</t>
  </si>
  <si>
    <t>Смеситель д/рак.SWEBDE NEPTUNЕ однорыч.хр</t>
  </si>
  <si>
    <t>4358,00</t>
  </si>
  <si>
    <t>Смеситель д/рак.BAUFLOW однорыч.хр</t>
  </si>
  <si>
    <t>65,00</t>
  </si>
  <si>
    <t>3238,00</t>
  </si>
  <si>
    <t>Смеситель д/рак.BAUCLASSIC однорыч.хр</t>
  </si>
  <si>
    <t>5438,00</t>
  </si>
  <si>
    <t>Смеситель д/рак.EUROSMART COSMO однорыч.хр</t>
  </si>
  <si>
    <t>7144,00</t>
  </si>
  <si>
    <t>Смеситель д/рак.ELVEN одноры.хр</t>
  </si>
  <si>
    <t>2680,00</t>
  </si>
  <si>
    <t>Смеситель д/рак.NAMARI однорыч.хр</t>
  </si>
  <si>
    <t>Смеситель д/рак.SCANDI PRO однорыч.хр</t>
  </si>
  <si>
    <t>59,00</t>
  </si>
  <si>
    <t>4508,00</t>
  </si>
  <si>
    <t>Смеситель д/рак.CAPITAL PRO однорыч.хр</t>
  </si>
  <si>
    <t>5495,00</t>
  </si>
  <si>
    <t>Смеситель д/рак.BIOS с гигиен. душ</t>
  </si>
  <si>
    <t>5420,00</t>
  </si>
  <si>
    <t>Смеситель д/рак.IDEALRAY однорыч.хр</t>
  </si>
  <si>
    <t>4394,00</t>
  </si>
  <si>
    <t>Смеситель д/рак.ALFI однорыч.хр</t>
  </si>
  <si>
    <t>3487,00</t>
  </si>
  <si>
    <t>Смеситель д/рак.MILANO однорыч.хр</t>
  </si>
  <si>
    <t>1303,00</t>
  </si>
  <si>
    <t>Смеситель д/рак.MERCI однорыч.хр</t>
  </si>
  <si>
    <t>4785,00</t>
  </si>
  <si>
    <t>Смеситель д/рак.BOSTON однорыч.хр</t>
  </si>
  <si>
    <t>3548,00</t>
  </si>
  <si>
    <t>Смеситель д/рак.LOGIS однорыч.хр</t>
  </si>
  <si>
    <t>7058,00</t>
  </si>
  <si>
    <t>Смеситель д/рак.LOGIS с гигиен.душ.однорыч.хр</t>
  </si>
  <si>
    <t>8175,00</t>
  </si>
  <si>
    <t>Смеситель д/рак.LETO 2 вент.хр</t>
  </si>
  <si>
    <t>1008,00</t>
  </si>
  <si>
    <t>Смеситель д/рак.ZORIA 2 вент.хр</t>
  </si>
  <si>
    <t>Смеситель д/рак.TECHNIK однорыч.хр</t>
  </si>
  <si>
    <t>2417,00</t>
  </si>
  <si>
    <t>Смеситель д/рак.OPTIMA однорыч.хр</t>
  </si>
  <si>
    <t>3237,00</t>
  </si>
  <si>
    <t>Смеситель д/рак.OPTIMA выс.однорыч.хр</t>
  </si>
  <si>
    <t>3854,00</t>
  </si>
  <si>
    <t>Смеситель д/рак.PARALLEL однорыч.</t>
  </si>
  <si>
    <t>4836,00</t>
  </si>
  <si>
    <t>Смеситель д/рак.SYMPHONY однорыч. хр.</t>
  </si>
  <si>
    <t>1748,00</t>
  </si>
  <si>
    <t>Смеситель д/рак.SAGITTA однорыч. хр</t>
  </si>
  <si>
    <t>1903,00</t>
  </si>
  <si>
    <t>Смес д/рак.VENADO однорыч.хр</t>
  </si>
  <si>
    <t>4385,00</t>
  </si>
  <si>
    <t>Смеситель д/рак.PALERMO однорыч.хр.</t>
  </si>
  <si>
    <t>4216,00</t>
  </si>
  <si>
    <t>Смеситель д/рак.MESSINA однорыч.хр.</t>
  </si>
  <si>
    <t>Смеситель д/рак.VERONA однорыч.хр.</t>
  </si>
  <si>
    <t>6852,00</t>
  </si>
  <si>
    <t>Смеситель д/рак.WAVE однорыч.хр</t>
  </si>
  <si>
    <t>7612,00</t>
  </si>
  <si>
    <t>ПО Смеситель д/рак.LOGIK 1 вент</t>
  </si>
  <si>
    <t>Cмеситель д/рак.FUN одноррыч.хр</t>
  </si>
  <si>
    <t>111,00</t>
  </si>
  <si>
    <t>Смеситель д/рак.CULTO CLASSIC однорыч.хр</t>
  </si>
  <si>
    <t>2998,00</t>
  </si>
  <si>
    <t>Смеситель д/рак.LOGIS E однорыч.хр</t>
  </si>
  <si>
    <t>4490,00</t>
  </si>
  <si>
    <t>Смеситель д/рак.LOGIS E однорыч.выс.излив</t>
  </si>
  <si>
    <t>5990,00</t>
  </si>
  <si>
    <t>007-740-015-020</t>
  </si>
  <si>
    <t>Смеситель д/ван.AVISTA однорыч.хр</t>
  </si>
  <si>
    <t>7350,00</t>
  </si>
  <si>
    <t>Смеситель д/ван.ECOS однорыч.хр</t>
  </si>
  <si>
    <t>6685,00</t>
  </si>
  <si>
    <t>Смес д/ванны Смарт-Тренд хр 1вент</t>
  </si>
  <si>
    <t>5537,00</t>
  </si>
  <si>
    <t>Смеситель д/ван.PRIDE однорыч.хр</t>
  </si>
  <si>
    <t>48,00</t>
  </si>
  <si>
    <t>7757,00</t>
  </si>
  <si>
    <t>Смес д/ванны Игги хром 1 вент</t>
  </si>
  <si>
    <t>1790,00</t>
  </si>
  <si>
    <t>Смес д/ванны Luka хром 1 вент</t>
  </si>
  <si>
    <t>3903,00</t>
  </si>
  <si>
    <t>Смеситель д/ван.ЭММИ однорыч.хр</t>
  </si>
  <si>
    <t>2958,00</t>
  </si>
  <si>
    <t>Смеситель д/ван.JUMP однорыч.хр</t>
  </si>
  <si>
    <t>10986,00</t>
  </si>
  <si>
    <t>Смеситель д/ван.STYLE однорыч.хр</t>
  </si>
  <si>
    <t>3486,00</t>
  </si>
  <si>
    <t>Смеситель д/ван.FERRARA однорыч.хр</t>
  </si>
  <si>
    <t>1798,00</t>
  </si>
  <si>
    <t>Смеситель д/ванны SIEGER 1 вент</t>
  </si>
  <si>
    <t>3608,00</t>
  </si>
  <si>
    <t>Смеситель д/ванны STARR 1 вент</t>
  </si>
  <si>
    <t>3525,00</t>
  </si>
  <si>
    <t>Смеситель д/ван.ORANGE однорыч.хр</t>
  </si>
  <si>
    <t>Смеситель д/ван.FT53 однорыч.хр</t>
  </si>
  <si>
    <t>860,00</t>
  </si>
  <si>
    <t>Смес д/ванны FocusE2 Monotrou 1 вент</t>
  </si>
  <si>
    <t>8363,00</t>
  </si>
  <si>
    <t>Смеситель д/ван.SWEBDE FLORA однорыч.хр</t>
  </si>
  <si>
    <t>7248,00</t>
  </si>
  <si>
    <t>Смеситель д/ван.SWEDBE NEPTUNE однорыч.хр.</t>
  </si>
  <si>
    <t>6258,00</t>
  </si>
  <si>
    <t>Смеситель д/ван.BAUFLOW однорыч.хр</t>
  </si>
  <si>
    <t>5798,00</t>
  </si>
  <si>
    <t>Смеситель д/ван.BAUCLASSIC однорыч.хр</t>
  </si>
  <si>
    <t>7147,00</t>
  </si>
  <si>
    <t>Смеситель д/ван.EUROSMART COSMO однорыч.хр</t>
  </si>
  <si>
    <t>9025,00</t>
  </si>
  <si>
    <t>Смеситель д/ван.ELVEN однорыч.хр</t>
  </si>
  <si>
    <t>Смеситель д/ван.NAMARI однорыч.хр</t>
  </si>
  <si>
    <t>3582,00</t>
  </si>
  <si>
    <t>Смеситель д/ван.SCANDI PRO однорыч.хр</t>
  </si>
  <si>
    <t>6593,00</t>
  </si>
  <si>
    <t>Смеситель д/ван.CAPITAL PRO однорыч.хр</t>
  </si>
  <si>
    <t>7253,00</t>
  </si>
  <si>
    <t>Смеситель д/ван.SCANDI START однорыч.хр</t>
  </si>
  <si>
    <t>6020,00</t>
  </si>
  <si>
    <t>Смеситель д/ван.CAPITAL START однорыч</t>
  </si>
  <si>
    <t>5025,00</t>
  </si>
  <si>
    <t>Смеситель д/ван.SWEDBE MARS однорыч.хр.</t>
  </si>
  <si>
    <t>4801,00</t>
  </si>
  <si>
    <t>Смеситель д/ван.ALFI однорыч.хр</t>
  </si>
  <si>
    <t>4884,00</t>
  </si>
  <si>
    <t>Смеситель д/ванны MILANO однорыч.хр</t>
  </si>
  <si>
    <t>2028,00</t>
  </si>
  <si>
    <t>Смеситель д/ван.MERCI однорыч.хр</t>
  </si>
  <si>
    <t>6980,00</t>
  </si>
  <si>
    <t>Смеситель д/ван.BOSTON однорыч.хр</t>
  </si>
  <si>
    <t>5228,00</t>
  </si>
  <si>
    <t>Смеситель д/ван.LOGIS однорыч.хр</t>
  </si>
  <si>
    <t>7802,00</t>
  </si>
  <si>
    <t>Смеситель д/ван.TECHNIK однорыч.хр</t>
  </si>
  <si>
    <t>4703,00</t>
  </si>
  <si>
    <t>Смеситель д/ван.OPTIMA однорыч.хр</t>
  </si>
  <si>
    <t>Смеситель д/ван.PARALLEL однорыч.</t>
  </si>
  <si>
    <t>7407,00</t>
  </si>
  <si>
    <t>Смеситель д/ван.SYMPHONY однорыч. хр.</t>
  </si>
  <si>
    <t>3078,00</t>
  </si>
  <si>
    <t>Смеситель д/ван.SAGITTA однорыч.хр</t>
  </si>
  <si>
    <t>3205,00</t>
  </si>
  <si>
    <t>Смеситель д/ван.VENADO однорыч.хр</t>
  </si>
  <si>
    <t>5060,00</t>
  </si>
  <si>
    <t>Смеситель д/ван.PALERMO однорыч.хр.</t>
  </si>
  <si>
    <t>5474,00</t>
  </si>
  <si>
    <t>Смеситель д/ван.MESSINA однорыч.хр.</t>
  </si>
  <si>
    <t>5668,00</t>
  </si>
  <si>
    <t>Смеситель д/ван.VERONA однорыч.хр.</t>
  </si>
  <si>
    <t>8548,00</t>
  </si>
  <si>
    <t xml:space="preserve"> Смеситель унив.СОЛА однорыч.душ.наб.</t>
  </si>
  <si>
    <t>2556,00</t>
  </si>
  <si>
    <t>Смеситель д/ван.WAVE однорыч.хр</t>
  </si>
  <si>
    <t>12397,00</t>
  </si>
  <si>
    <t>Cмеситель д/ван.FUN одноррыч.хр</t>
  </si>
  <si>
    <t>73,00</t>
  </si>
  <si>
    <t>5708,00</t>
  </si>
  <si>
    <t>Смеситель д/ван.CULTO CLASSIC однорыч.хр</t>
  </si>
  <si>
    <t>3798,00</t>
  </si>
  <si>
    <t>Смеситель д/ван.LOGIS E однорыч.хр</t>
  </si>
  <si>
    <t>6790,00</t>
  </si>
  <si>
    <t>007-740-015-030</t>
  </si>
  <si>
    <t>Смеситель д/душа Avista</t>
  </si>
  <si>
    <t>5691,00</t>
  </si>
  <si>
    <t>Смеситель д/душа Ecos</t>
  </si>
  <si>
    <t>6078,00</t>
  </si>
  <si>
    <t>Смес д/душа Pride хром 1вент</t>
  </si>
  <si>
    <t>8240,00</t>
  </si>
  <si>
    <t>Смес д/душа Luka хром 1вент</t>
  </si>
  <si>
    <t>2390,00</t>
  </si>
  <si>
    <t>Смес д/душа Эмми хром 1 вент</t>
  </si>
  <si>
    <t>2195,00</t>
  </si>
  <si>
    <t>Душ смес Focus E внеш/скрыт части хр</t>
  </si>
  <si>
    <t>7975,00</t>
  </si>
  <si>
    <t>Смеситель д/душа Jump  хр</t>
  </si>
  <si>
    <t>9341,00</t>
  </si>
  <si>
    <t>Смес д/душа IKARIA  хром 1 вент</t>
  </si>
  <si>
    <t>1968,00</t>
  </si>
  <si>
    <t>Смеситель д/душа Style</t>
  </si>
  <si>
    <t>2917,00</t>
  </si>
  <si>
    <t>Смеситель д/душа  FERRARA 1вент</t>
  </si>
  <si>
    <t>1328,00</t>
  </si>
  <si>
    <t>Смеситель д/душа SIEGER 1 вент</t>
  </si>
  <si>
    <t>2554,00</t>
  </si>
  <si>
    <t>Смеситель д/душа STARR 1 вент</t>
  </si>
  <si>
    <t>2585,00</t>
  </si>
  <si>
    <t>Смеситель д/душа Orange хр</t>
  </si>
  <si>
    <t>10436,00</t>
  </si>
  <si>
    <t>Смеситель д/душа BauFlow 1 вент хр</t>
  </si>
  <si>
    <t>4984,00</t>
  </si>
  <si>
    <t>Смеситель д/душа ELVEN однорыч</t>
  </si>
  <si>
    <t>2598,00</t>
  </si>
  <si>
    <t>Смеситель д/душа NAMARI однорыч</t>
  </si>
  <si>
    <t>2888,00</t>
  </si>
  <si>
    <t>Смеситель д/душа CAPITAL PRO однорыч</t>
  </si>
  <si>
    <t>4655,00</t>
  </si>
  <si>
    <t>Смеситель д/ван.IDEALRAY однорыч.хр</t>
  </si>
  <si>
    <t>5496,00</t>
  </si>
  <si>
    <t>Смеситель д/душа ALFI однорыч.хр</t>
  </si>
  <si>
    <t>Смеситель д/душа MILANO однорыч.хр</t>
  </si>
  <si>
    <t>1480,00</t>
  </si>
  <si>
    <t>Смеситель д/душа LOGIS однорыч.хр</t>
  </si>
  <si>
    <t>Смеситель д/душ.PARALLEL однорыч.</t>
  </si>
  <si>
    <t>5214,00</t>
  </si>
  <si>
    <t>Смеситель д/душа SYMPHONY однорыч. хр.</t>
  </si>
  <si>
    <t>2137,00</t>
  </si>
  <si>
    <t>Смеситель д/душа SAGITTA однорыч. хр</t>
  </si>
  <si>
    <t>2530,00</t>
  </si>
  <si>
    <t>Смес д/душа VENADO 1 вент хр</t>
  </si>
  <si>
    <t>3971,00</t>
  </si>
  <si>
    <t>Смеситель д/душ.ж PALERMO однорыч.хр.</t>
  </si>
  <si>
    <t>5176,00</t>
  </si>
  <si>
    <t>Смеситель д/душ. MESSINA однорыч.хр.</t>
  </si>
  <si>
    <t>4643,00</t>
  </si>
  <si>
    <t>Смеситель д/дууш.VERONA однорыч.хр.</t>
  </si>
  <si>
    <t>8223,00</t>
  </si>
  <si>
    <t>Смеситель унив.АЛЬТО однорыч.</t>
  </si>
  <si>
    <t>62,00</t>
  </si>
  <si>
    <t>1953,00</t>
  </si>
  <si>
    <t>007-740-015-040</t>
  </si>
  <si>
    <t>Смеситель д/биде Ecos</t>
  </si>
  <si>
    <t>007-740-015-050</t>
  </si>
  <si>
    <t>Смеситель д/рак.ЭММИ однорыч.бронза</t>
  </si>
  <si>
    <t>3398,00</t>
  </si>
  <si>
    <t>007-740-015-070</t>
  </si>
  <si>
    <t>Смес д/душа Эмми бронза 1вент</t>
  </si>
  <si>
    <t>4058,00</t>
  </si>
  <si>
    <t>007-740-020-010</t>
  </si>
  <si>
    <t>Смеситель унив.ЛИДИЯ 2 вент.душ.наб.</t>
  </si>
  <si>
    <t>1147,00</t>
  </si>
  <si>
    <t>1120,00</t>
  </si>
  <si>
    <t>Смеситель унив.РЕТРО ЛЮКС 2 вент.душ.наб.</t>
  </si>
  <si>
    <t>Смеситель унив.CHARME 2 вент.душ.наб.</t>
  </si>
  <si>
    <t>4388,00</t>
  </si>
  <si>
    <t>Смеситель унив.NORIT 2 вент.душ.наб.</t>
  </si>
  <si>
    <t>290,00</t>
  </si>
  <si>
    <t>2188,00</t>
  </si>
  <si>
    <t>Смеситель унив.БЬЕРГ 2 вент.</t>
  </si>
  <si>
    <t>1815,00</t>
  </si>
  <si>
    <t>Смеситель унив.VERSAL 2 вент.душ.наб.</t>
  </si>
  <si>
    <t>4307,00</t>
  </si>
  <si>
    <t>Смеситель унив.MODERN 2 вент.</t>
  </si>
  <si>
    <t>Смеситель унив.БОСТОН 2 вент.душ.наб.</t>
  </si>
  <si>
    <t>1265,00</t>
  </si>
  <si>
    <t>Смеситель унив.CLASSIC 2 вент.душ.наб.</t>
  </si>
  <si>
    <t>2757,00</t>
  </si>
  <si>
    <t>Смеситель унив.KRISTI 2 вент.</t>
  </si>
  <si>
    <t>4510,00</t>
  </si>
  <si>
    <t>Смеситель унив.LOTOS 2 вент.</t>
  </si>
  <si>
    <t>Смеситель унив.LOTOS  2 вент.душ.наб.</t>
  </si>
  <si>
    <t>3638,00</t>
  </si>
  <si>
    <t>Смеситель унив.OBJECT 2 вент.</t>
  </si>
  <si>
    <t>5130,00</t>
  </si>
  <si>
    <t>Смеситель унив.ROMI 2 вент.душ.наб.</t>
  </si>
  <si>
    <t>3657,00</t>
  </si>
  <si>
    <t>Смеситель унив.ALAO 2 вент.душ.наб.</t>
  </si>
  <si>
    <t>47,00</t>
  </si>
  <si>
    <t>3630,00</t>
  </si>
  <si>
    <t>007-740-020-020</t>
  </si>
  <si>
    <t>Смеситель унив.ЛЮКС душ.наб.</t>
  </si>
  <si>
    <t>98,00</t>
  </si>
  <si>
    <t>2087,00</t>
  </si>
  <si>
    <t>Смеситель унив.NORY однорыч.душ.наб</t>
  </si>
  <si>
    <t>3801,00</t>
  </si>
  <si>
    <t>Смеситель унив.ANGEL однорыч.душ.наб.</t>
  </si>
  <si>
    <t>7252,00</t>
  </si>
  <si>
    <t>Смеситель унив.KIO однорыч.душ.наб.</t>
  </si>
  <si>
    <t>3516,00</t>
  </si>
  <si>
    <t>Смеситель унив.ANYA однорыч.</t>
  </si>
  <si>
    <t>Смеситель унив.BALATON однорыч.душ.наб.</t>
  </si>
  <si>
    <t>3795,00</t>
  </si>
  <si>
    <t>Смеситель унив.ALES однорыч.хр</t>
  </si>
  <si>
    <t>66,00</t>
  </si>
  <si>
    <t>3135,00</t>
  </si>
  <si>
    <t>Смеситель унив.SOFI однорыч.душ.наб.</t>
  </si>
  <si>
    <t>4765,00</t>
  </si>
  <si>
    <t>Смеситель унив.LOGIS однорыч.</t>
  </si>
  <si>
    <t>10853,00</t>
  </si>
  <si>
    <t>Смеситель унив.РАТЕН однорыч.душ.наб.</t>
  </si>
  <si>
    <t>2518,00</t>
  </si>
  <si>
    <t>Смеситель унив.ГРАНО 2 вент.душ.наб.</t>
  </si>
  <si>
    <t>2560,00</t>
  </si>
  <si>
    <t>Смеситель унив.TRENTO однорыч.</t>
  </si>
  <si>
    <t>Смеситель унив.TECHNIK однорыч.</t>
  </si>
  <si>
    <t>4096,00</t>
  </si>
  <si>
    <t>Смеситель унив.ДЕЛЬФИН однорыч.душ.наб.</t>
  </si>
  <si>
    <t>1308,00</t>
  </si>
  <si>
    <t>Cмеситель унив.OSCAR однорыч.душ.наб.</t>
  </si>
  <si>
    <t>5390,00</t>
  </si>
  <si>
    <t>Смеситель унив.TORINO однорыч.хр</t>
  </si>
  <si>
    <t>2194,00</t>
  </si>
  <si>
    <t>Смеситель унив.CHIC однорыч.</t>
  </si>
  <si>
    <t>6990,00</t>
  </si>
  <si>
    <t>Смеситель унив.POLLY однорыч.душ.наб.</t>
  </si>
  <si>
    <t>4290,00</t>
  </si>
  <si>
    <t>Смеситель унив.EMMY однорыч.душ.наб.</t>
  </si>
  <si>
    <t>4620,00</t>
  </si>
  <si>
    <t>Смеситель унив.ALES однорыч.душ.наб.</t>
  </si>
  <si>
    <t>3655,00</t>
  </si>
  <si>
    <t>Смеситель унив.NORY 20 однорыч.душ.наб.</t>
  </si>
  <si>
    <t>3850,00</t>
  </si>
  <si>
    <t>Смеситель унив.BASIS однорыч.хр</t>
  </si>
  <si>
    <t>1002321007 - ООО "СКЛ"</t>
  </si>
  <si>
    <t>6072,00</t>
  </si>
  <si>
    <t>ПО Набор д/ван.смеситель и штанга Nebo 2 в 1</t>
  </si>
  <si>
    <t>1995,00</t>
  </si>
  <si>
    <t>ПО Набор д/ван.смесители и штанга Nebo 3 в 1</t>
  </si>
  <si>
    <t>2795,00</t>
  </si>
  <si>
    <t>007-740-030-010</t>
  </si>
  <si>
    <t>Термостат д/душа SUNNY хр</t>
  </si>
  <si>
    <t>12090,00</t>
  </si>
  <si>
    <t>Термостат д/душа Swedbe Titan</t>
  </si>
  <si>
    <t>8045,00</t>
  </si>
  <si>
    <t>Термостат д/ванны Swedbe Titan</t>
  </si>
  <si>
    <t>8937,00</t>
  </si>
  <si>
    <t>007-740-030-020</t>
  </si>
  <si>
    <t>Кран д/хол воды Ретро хром</t>
  </si>
  <si>
    <t>432,00</t>
  </si>
  <si>
    <t>007-740-030-030</t>
  </si>
  <si>
    <t>Смеситель на борт ванны IRIS +лейка</t>
  </si>
  <si>
    <t>10840,00</t>
  </si>
  <si>
    <t>Смеситель на борт ванны OTTO +лейка</t>
  </si>
  <si>
    <t>13545,00</t>
  </si>
  <si>
    <t>007-740-030-060</t>
  </si>
  <si>
    <t>Смеситель для раковины CLASSIC</t>
  </si>
  <si>
    <t>Смеситель для раковины NOSTALGY хром</t>
  </si>
  <si>
    <t>171,00</t>
  </si>
  <si>
    <t>1095,00</t>
  </si>
  <si>
    <t>Смес д/рак GARTAGENA хр 2вент</t>
  </si>
  <si>
    <t>2332,00</t>
  </si>
  <si>
    <t>007-740-030-070</t>
  </si>
  <si>
    <t>Термостат д/душ.ECOSTAT COMFORT</t>
  </si>
  <si>
    <t>12634,00</t>
  </si>
  <si>
    <t>Термостат д/ван.ECOSTAT COMFORT</t>
  </si>
  <si>
    <t>16108,00</t>
  </si>
  <si>
    <t>Термостат д/душа CERATHERM 50</t>
  </si>
  <si>
    <t>9944,00</t>
  </si>
  <si>
    <t>Термостат д/ванны и душа CERATHERM 50</t>
  </si>
  <si>
    <t>16206,00</t>
  </si>
  <si>
    <t>007-740-040-010</t>
  </si>
  <si>
    <t>Излив д/смесителя 35см</t>
  </si>
  <si>
    <t>470,00</t>
  </si>
  <si>
    <t>Излив д/смесителя с пер-лем 35см</t>
  </si>
  <si>
    <t>712,00</t>
  </si>
  <si>
    <t>Излив д/смесителя 40см</t>
  </si>
  <si>
    <t>517,00</t>
  </si>
  <si>
    <t>Излив д/смесителя с пер-лем 40см</t>
  </si>
  <si>
    <t>683,00</t>
  </si>
  <si>
    <t>Выпуск  д/рак Клик-Клак 1:4 хром</t>
  </si>
  <si>
    <t>Монтажный уголок смесителя 90гр.хром</t>
  </si>
  <si>
    <t>2767,00</t>
  </si>
  <si>
    <t>Излив 35см с регулятором потока воды</t>
  </si>
  <si>
    <t>907,00</t>
  </si>
  <si>
    <t>007-740-040-020</t>
  </si>
  <si>
    <t>Ком аэраторов  Comfort M24 поворот 2 шт</t>
  </si>
  <si>
    <t>1338,00</t>
  </si>
  <si>
    <t>007-745-010-010</t>
  </si>
  <si>
    <t>Мыльница на ванну</t>
  </si>
  <si>
    <t>106,00</t>
  </si>
  <si>
    <t>1002852007 - ООО"М-пластика"</t>
  </si>
  <si>
    <t>Держатель д/туалетной бумаги</t>
  </si>
  <si>
    <t>ТЖ Набор д/ванной комнаты с зеркалом</t>
  </si>
  <si>
    <t>60,00</t>
  </si>
  <si>
    <t>1003206007 - ООО"ОПТОВИК ЦЕНТР"</t>
  </si>
  <si>
    <t>596,00</t>
  </si>
  <si>
    <t>Вешалка д/полотенца Prime пластик</t>
  </si>
  <si>
    <t>Мыльница Prime пластик</t>
  </si>
  <si>
    <t>Полочка Prime пластик</t>
  </si>
  <si>
    <t>Стаканчик д/зуб щет Prime пластик</t>
  </si>
  <si>
    <t>55,00</t>
  </si>
  <si>
    <t>Держатель д/полотенца Prime пластик</t>
  </si>
  <si>
    <t>Держатель т/б Prime платик</t>
  </si>
  <si>
    <t>141,00</t>
  </si>
  <si>
    <t>Крючок  BOSCO</t>
  </si>
  <si>
    <t>140,00</t>
  </si>
  <si>
    <t>2-ой стакан Orchid</t>
  </si>
  <si>
    <t>968,00</t>
  </si>
  <si>
    <t>планка 5-ю крючками Orchid</t>
  </si>
  <si>
    <t>820,00</t>
  </si>
  <si>
    <t>Держатель для т/б Aqua</t>
  </si>
  <si>
    <t>1000781007 - ООО "ПЛАСТИК РЕПАБЛИК"</t>
  </si>
  <si>
    <t>Полочка на душ штангу</t>
  </si>
  <si>
    <t>1002119007 - ООО "Ансан"</t>
  </si>
  <si>
    <t>356,00</t>
  </si>
  <si>
    <t>Полка на душевую перегородку</t>
  </si>
  <si>
    <t>1241,00</t>
  </si>
  <si>
    <t>Держатель т/б и освежителя с полкой Mira</t>
  </si>
  <si>
    <t>218,00</t>
  </si>
  <si>
    <t>1002975007 - ООО "Мера уюта"</t>
  </si>
  <si>
    <t>194,00</t>
  </si>
  <si>
    <t>Набор из 2-х крючков "Рыбки"</t>
  </si>
  <si>
    <t>1001508007 - ООО "Мультидом Трейдинг"</t>
  </si>
  <si>
    <t>007-745-010-015</t>
  </si>
  <si>
    <t>Крючок двойной Terra</t>
  </si>
  <si>
    <t>1000725007 - ООО "Сантонит"</t>
  </si>
  <si>
    <t>Планка 4 крючка нерж</t>
  </si>
  <si>
    <t>61,00</t>
  </si>
  <si>
    <t>527,00</t>
  </si>
  <si>
    <t>Держатель т/б закрытый Terra</t>
  </si>
  <si>
    <t>54,00</t>
  </si>
  <si>
    <t>707,00</t>
  </si>
  <si>
    <t>Мыльница Terra</t>
  </si>
  <si>
    <t>656,00</t>
  </si>
  <si>
    <t>Стакан д/зуб щет Terra</t>
  </si>
  <si>
    <t>663,00</t>
  </si>
  <si>
    <t>Ерш д/унитаза Terra</t>
  </si>
  <si>
    <t>1477,00</t>
  </si>
  <si>
    <t>007-745-010-020</t>
  </si>
  <si>
    <t>Поручень Otel 30см хром</t>
  </si>
  <si>
    <t>1003234007 - ООО "ТД АРГУМЕНТ"</t>
  </si>
  <si>
    <t>828,00</t>
  </si>
  <si>
    <t>Крючок двойной Квадрат</t>
  </si>
  <si>
    <t>204,00</t>
  </si>
  <si>
    <t>Стакан Квадрат</t>
  </si>
  <si>
    <t>273,00</t>
  </si>
  <si>
    <t>Мыльница Квадрат</t>
  </si>
  <si>
    <t>Мыльница-решетка квадрат</t>
  </si>
  <si>
    <t>Держатель для т/б с крышкой Квадрат</t>
  </si>
  <si>
    <t>285,00</t>
  </si>
  <si>
    <t>Кольцо "Квадрат"</t>
  </si>
  <si>
    <t>Полотенцедерж-ль 2-ой повор Квадрат</t>
  </si>
  <si>
    <t>617,00</t>
  </si>
  <si>
    <t>Полка стекло Квадрат</t>
  </si>
  <si>
    <t>Ерш настенный Квадрат</t>
  </si>
  <si>
    <t>508,00</t>
  </si>
  <si>
    <t>Вешалка д/полот-ца трубчатая KVADRO хр</t>
  </si>
  <si>
    <t>706,00</t>
  </si>
  <si>
    <t>Вешалка д/полот-ца дв KVADRO хр</t>
  </si>
  <si>
    <t>Вешалка д/полот-ца тройной KVADRO хр</t>
  </si>
  <si>
    <t>1084,00</t>
  </si>
  <si>
    <t>Полка стеклянная угловая KVADRO хр</t>
  </si>
  <si>
    <t>Крючок KVADRO хром</t>
  </si>
  <si>
    <t>53,00</t>
  </si>
  <si>
    <t>267,00</t>
  </si>
  <si>
    <t>Планка 5 крючков KVADRO хром</t>
  </si>
  <si>
    <t>598,00</t>
  </si>
  <si>
    <t>Стакан KVADRO хром</t>
  </si>
  <si>
    <t>347,00</t>
  </si>
  <si>
    <t>Мыльница стекло KVADRO хром</t>
  </si>
  <si>
    <t>376,00</t>
  </si>
  <si>
    <t>Держатель т/б с крышкой KVADRO хром</t>
  </si>
  <si>
    <t>518,00</t>
  </si>
  <si>
    <t>Дозатор д/жид мыла KVADRO хр</t>
  </si>
  <si>
    <t>548,00</t>
  </si>
  <si>
    <t>Полка д/полотенец KVADRO хром</t>
  </si>
  <si>
    <t>2607,00</t>
  </si>
  <si>
    <t>Держатель т/б и осв воздуха KVADRO хром</t>
  </si>
  <si>
    <t>1288,00</t>
  </si>
  <si>
    <t>Держатель д/газет KVADRO хром</t>
  </si>
  <si>
    <t>1571,00</t>
  </si>
  <si>
    <t>Мыльница 14x10x4 см</t>
  </si>
  <si>
    <t>180,00</t>
  </si>
  <si>
    <t>Крючок 2-ой  SONATA</t>
  </si>
  <si>
    <t>232,00</t>
  </si>
  <si>
    <t>Держатель с мыльницей  SONATA</t>
  </si>
  <si>
    <t>354,00</t>
  </si>
  <si>
    <t>Держатель стакана 2-ой  SONATA</t>
  </si>
  <si>
    <t>528,00</t>
  </si>
  <si>
    <t>Полотенцедерж. 2-ой 60см. SONATA</t>
  </si>
  <si>
    <t>954,00</t>
  </si>
  <si>
    <t>Держатель т/б с крышкой SONATA</t>
  </si>
  <si>
    <t>398,00</t>
  </si>
  <si>
    <t>Держатель т/б+освежитель SONATA</t>
  </si>
  <si>
    <t>883,00</t>
  </si>
  <si>
    <t>Вешалка д/полотенца 4-я Elliot хр</t>
  </si>
  <si>
    <t>1856,00</t>
  </si>
  <si>
    <t>Планка 4 крючка Elliot хр</t>
  </si>
  <si>
    <t>958,00</t>
  </si>
  <si>
    <t>Держатель 2-х стаканов Elliot хр</t>
  </si>
  <si>
    <t>612,00</t>
  </si>
  <si>
    <t>Держатель т/б и освеж воздуха Elliot хр</t>
  </si>
  <si>
    <t>856,00</t>
  </si>
  <si>
    <t>Держатель д/фена Elliot хр</t>
  </si>
  <si>
    <t>673,00</t>
  </si>
  <si>
    <t>Полка стекляная Elliot хр</t>
  </si>
  <si>
    <t>1041,00</t>
  </si>
  <si>
    <t>Мыльница металл Elliot хр</t>
  </si>
  <si>
    <t>388,00</t>
  </si>
  <si>
    <t>Мыльница  Elliot хр</t>
  </si>
  <si>
    <t>Держатель стакана Elliot хр</t>
  </si>
  <si>
    <t>Ерш д/унитаза Elliot хр</t>
  </si>
  <si>
    <t>Вешалка-рога д/полотенца 2-я Elliot хр</t>
  </si>
  <si>
    <t>542,00</t>
  </si>
  <si>
    <t>Вешалка д/полотенца 2-я Elliot хр</t>
  </si>
  <si>
    <t>863,00</t>
  </si>
  <si>
    <t>Вешалка д/полотенца Elliot 50 см</t>
  </si>
  <si>
    <t>944,00</t>
  </si>
  <si>
    <t>Кольцо д/полотенца Elliot хр</t>
  </si>
  <si>
    <t>467,00</t>
  </si>
  <si>
    <t>Держатель т/б открытый Elliot хр</t>
  </si>
  <si>
    <t>447,00</t>
  </si>
  <si>
    <t>Крючок 2-ой Elliot хр</t>
  </si>
  <si>
    <t>308,00</t>
  </si>
  <si>
    <t>Ершик д/туалета Quaddro хр</t>
  </si>
  <si>
    <t>948,00</t>
  </si>
  <si>
    <t>Полка стекляная Quaddro хр</t>
  </si>
  <si>
    <t>1525,00</t>
  </si>
  <si>
    <t>Вешалка д/полот 3-ая Quaddro поворот хр</t>
  </si>
  <si>
    <t>вешалка д/полотенц Quaddro 45 см хр</t>
  </si>
  <si>
    <t>1268,00</t>
  </si>
  <si>
    <t>Колько д/полотенец Quaddro хр</t>
  </si>
  <si>
    <t>755,00</t>
  </si>
  <si>
    <t>Планка 5 крючков Quaddro хр</t>
  </si>
  <si>
    <t>495,00</t>
  </si>
  <si>
    <t>Держатель стаканов 2-ой Quaddro хр</t>
  </si>
  <si>
    <t>698,00</t>
  </si>
  <si>
    <t>Крючок двойной Quaddro хр</t>
  </si>
  <si>
    <t>328,00</t>
  </si>
  <si>
    <t>Держатель мыльницы и стакана Quaddro хр</t>
  </si>
  <si>
    <t>595,00</t>
  </si>
  <si>
    <t>Мыльница Quaddro хр</t>
  </si>
  <si>
    <t>658,00</t>
  </si>
  <si>
    <t>Держатель стакана Quaddro хр</t>
  </si>
  <si>
    <t>Крючок 3-ой Quaddro хр</t>
  </si>
  <si>
    <t>254,00</t>
  </si>
  <si>
    <t>Крючок одинарный Quaddro хр</t>
  </si>
  <si>
    <t>418,00</t>
  </si>
  <si>
    <t>Держатель освежителяKVADRO</t>
  </si>
  <si>
    <t>851,00</t>
  </si>
  <si>
    <t>Крючки на планке Нота 4 шт</t>
  </si>
  <si>
    <t>1002951007 - ООО "Изюм"</t>
  </si>
  <si>
    <t>116,00</t>
  </si>
  <si>
    <t>Крючки на планке 6 шт раздвиж К006 хром</t>
  </si>
  <si>
    <t>135,00</t>
  </si>
  <si>
    <t>186,00</t>
  </si>
  <si>
    <t>ЛЦ  Ерш настенный хром</t>
  </si>
  <si>
    <t>465,00</t>
  </si>
  <si>
    <t>373,00</t>
  </si>
  <si>
    <t>Крючок хром</t>
  </si>
  <si>
    <t>ЛЦ мыльница стекло хром</t>
  </si>
  <si>
    <t>123,00</t>
  </si>
  <si>
    <t>222,00</t>
  </si>
  <si>
    <t>Полотенцедержатель Aster</t>
  </si>
  <si>
    <t>Вешалка (не поворотная) 2-ая 50 см Aster</t>
  </si>
  <si>
    <t>981,00</t>
  </si>
  <si>
    <t>Планка с 5-ю крючками Aster</t>
  </si>
  <si>
    <t>734,00</t>
  </si>
  <si>
    <t>Поворотная 2-ая вешалка Aster</t>
  </si>
  <si>
    <t>988,00</t>
  </si>
  <si>
    <t>Полотенцедержатель одинарн. 60см BRUKLIN</t>
  </si>
  <si>
    <t>1230,00</t>
  </si>
  <si>
    <t>Крючок одинарный BRUKLIN</t>
  </si>
  <si>
    <t>472,00</t>
  </si>
  <si>
    <t>Полотенцедержатель 4 крючка BRUKLIN</t>
  </si>
  <si>
    <t>1118,00</t>
  </si>
  <si>
    <t>Мыльница металл  BRUKLIN</t>
  </si>
  <si>
    <t>601,00</t>
  </si>
  <si>
    <t>Ерш для туалета настенный BRUKLIN</t>
  </si>
  <si>
    <t>1003,00</t>
  </si>
  <si>
    <t>Полотенцедержатель кольцо Lamella</t>
  </si>
  <si>
    <t>497,00</t>
  </si>
  <si>
    <t>Держатель для т/б с крышкой Lamella</t>
  </si>
  <si>
    <t>675,00</t>
  </si>
  <si>
    <t>Ершик Lamella</t>
  </si>
  <si>
    <t>1097,00</t>
  </si>
  <si>
    <t>Крючок  двойной Lamella</t>
  </si>
  <si>
    <t>428,00</t>
  </si>
  <si>
    <t>Полка стекло Lamella</t>
  </si>
  <si>
    <t>1405,00</t>
  </si>
  <si>
    <t>Стакан для зубных щеток Lamella</t>
  </si>
  <si>
    <t>565,00</t>
  </si>
  <si>
    <t>Держатель т/б с крышкой Elliot</t>
  </si>
  <si>
    <t>Крючок Elliot</t>
  </si>
  <si>
    <t>250,00</t>
  </si>
  <si>
    <t>Полотенцедержатель трубчатый 2-ой OCEAN</t>
  </si>
  <si>
    <t>Полотенцедержатель рога 2-ой OCEAN</t>
  </si>
  <si>
    <t>Полка стеклянная OCEAN</t>
  </si>
  <si>
    <t>605,00</t>
  </si>
  <si>
    <t>Крючок двойной OCEAN</t>
  </si>
  <si>
    <t>82,00</t>
  </si>
  <si>
    <t>182,00</t>
  </si>
  <si>
    <t>Мыльница стекло OCEAN</t>
  </si>
  <si>
    <t>Мыльница решетка OCEAN</t>
  </si>
  <si>
    <t>547,00</t>
  </si>
  <si>
    <t>Бумагодержатель с крышкой OCEAN</t>
  </si>
  <si>
    <t>Ерш для туалета OCEAN</t>
  </si>
  <si>
    <t>Крючок двойной LAGUNA</t>
  </si>
  <si>
    <t>Мыльница магнит KVADRO</t>
  </si>
  <si>
    <t>Полотенцедержатель LOFT 55 см мат</t>
  </si>
  <si>
    <t>Планка 3 крючка</t>
  </si>
  <si>
    <t>114,00</t>
  </si>
  <si>
    <t>342,00</t>
  </si>
  <si>
    <t>Планка 4 крючка</t>
  </si>
  <si>
    <t>Полотенцедержатель трубчатый  OCEAN</t>
  </si>
  <si>
    <t>411,00</t>
  </si>
  <si>
    <t>Планка на дверь 6 кр</t>
  </si>
  <si>
    <t>413,00</t>
  </si>
  <si>
    <t>Вешалка д/полотенца 3-я 45 см</t>
  </si>
  <si>
    <t>Полка д/полотенец</t>
  </si>
  <si>
    <t>710,00</t>
  </si>
  <si>
    <t>Планка 3 крючка 20см хром</t>
  </si>
  <si>
    <t>Планка 4 крючка 26см хром</t>
  </si>
  <si>
    <t>Планка 5 крючка 32,5см хром</t>
  </si>
  <si>
    <t>125,00</t>
  </si>
  <si>
    <t>Планка 2 крючка 15,5см пластик,хром</t>
  </si>
  <si>
    <t>Планка 3 крючка 25,5см пластик,хром</t>
  </si>
  <si>
    <t>Планка 4 крючка 35,5см пластик,хром</t>
  </si>
  <si>
    <t>143,00</t>
  </si>
  <si>
    <t>Крючок Fiore хром</t>
  </si>
  <si>
    <t>Крючок Fiore зел</t>
  </si>
  <si>
    <t>Крючок Fiore фиолет</t>
  </si>
  <si>
    <t>Крючок Fiore бел</t>
  </si>
  <si>
    <t>Крючки двойные 2шт на планке</t>
  </si>
  <si>
    <t>224,00</t>
  </si>
  <si>
    <t>391,00</t>
  </si>
  <si>
    <t>Держатель т/бум с полкой д/моб телефона хром</t>
  </si>
  <si>
    <t>245,00</t>
  </si>
  <si>
    <t>Планка с 4-я крючками Aster</t>
  </si>
  <si>
    <t>Планка с 4 крючками Mosaic</t>
  </si>
  <si>
    <t>811,00</t>
  </si>
  <si>
    <t>Крючок 2-ой хром</t>
  </si>
  <si>
    <t>97,00</t>
  </si>
  <si>
    <t>Крючок Бабочка 2-ой хром</t>
  </si>
  <si>
    <t>115,00</t>
  </si>
  <si>
    <t>Крючок Пешка 1-ый хром</t>
  </si>
  <si>
    <t>Крючок Ладья 1-ый хром</t>
  </si>
  <si>
    <t>211,00</t>
  </si>
  <si>
    <t>Крючок Соната 3-ой хром</t>
  </si>
  <si>
    <t>Крючок Белый матовый</t>
  </si>
  <si>
    <t>Крючки на планке Нота 2 шт</t>
  </si>
  <si>
    <t>109,00</t>
  </si>
  <si>
    <t>86,00</t>
  </si>
  <si>
    <t>Крючки на планке Нота 6 шт</t>
  </si>
  <si>
    <t>145,00</t>
  </si>
  <si>
    <t>Держатель для  т/б Соната хром</t>
  </si>
  <si>
    <t>Держатель  т/б Белый матовый</t>
  </si>
  <si>
    <t>407,00</t>
  </si>
  <si>
    <t>Держатель для т/б и освж воздуха Ладья</t>
  </si>
  <si>
    <t>Мыльница-сетка хром</t>
  </si>
  <si>
    <t>242,00</t>
  </si>
  <si>
    <t>Мыльница-сетка угл хром</t>
  </si>
  <si>
    <t>Планка с 3 крючками "Стэнли стил"</t>
  </si>
  <si>
    <t>131,00</t>
  </si>
  <si>
    <t>Планка с 2 крючками "Стэнли стил"</t>
  </si>
  <si>
    <t>Планка с 4 крючками "Стэнли стил"</t>
  </si>
  <si>
    <t>124,00</t>
  </si>
  <si>
    <t>Планка навесная 4 крючка</t>
  </si>
  <si>
    <t>118,00</t>
  </si>
  <si>
    <t>007-745-010-040</t>
  </si>
  <si>
    <t xml:space="preserve"> Полотенцедерж-ль трубчатый 2-ой Bogema</t>
  </si>
  <si>
    <t>2624,00</t>
  </si>
  <si>
    <t xml:space="preserve"> Полотенцедержатель рога 2-ые Bogema</t>
  </si>
  <si>
    <t xml:space="preserve"> Полка стекло Bogema</t>
  </si>
  <si>
    <t xml:space="preserve"> Полка стекло угловая Bogema</t>
  </si>
  <si>
    <t>1804,00</t>
  </si>
  <si>
    <t xml:space="preserve"> Крючок двойной Bogema</t>
  </si>
  <si>
    <t>1156,00</t>
  </si>
  <si>
    <t xml:space="preserve"> Подстаканник одинарный керамика Bogema</t>
  </si>
  <si>
    <t xml:space="preserve"> Подстаканник двойной керамика Bogema</t>
  </si>
  <si>
    <t xml:space="preserve"> Мыльница керамика Bogema</t>
  </si>
  <si>
    <t>1312,00</t>
  </si>
  <si>
    <t xml:space="preserve"> Мыльница решетка Bogema</t>
  </si>
  <si>
    <t xml:space="preserve"> Бумагодержатель с крышкой Bogema</t>
  </si>
  <si>
    <t>1665,00</t>
  </si>
  <si>
    <t xml:space="preserve"> Полотенцедержатель кольцо Bogema</t>
  </si>
  <si>
    <t>Ерш д/туалета BOGEMA и доп щетка</t>
  </si>
  <si>
    <t>2436,00</t>
  </si>
  <si>
    <t>Держатель д/фена BOGEMA</t>
  </si>
  <si>
    <t>Мыльница + подстаканник BOGEMA</t>
  </si>
  <si>
    <t>2093,00</t>
  </si>
  <si>
    <t>Полотенцедержатель 45см Sacramento</t>
  </si>
  <si>
    <t>1301,00</t>
  </si>
  <si>
    <t>Полотенцедержатель Кольцо Sacramento</t>
  </si>
  <si>
    <t>998,00</t>
  </si>
  <si>
    <t>Полотенцедержатель 2-ой поворотный Sacramento</t>
  </si>
  <si>
    <t>1691,00</t>
  </si>
  <si>
    <t>Держатель для т/б с крышкой Sacramento</t>
  </si>
  <si>
    <t>1251,00</t>
  </si>
  <si>
    <t>Вешалка 4 крючка Sacramento</t>
  </si>
  <si>
    <t>858,00</t>
  </si>
  <si>
    <t>Мыльница керамика Sacramento</t>
  </si>
  <si>
    <t>Мыльница металл Sacramento</t>
  </si>
  <si>
    <t>Стакан Sacramento</t>
  </si>
  <si>
    <t>Стакан керамика Aster</t>
  </si>
  <si>
    <t>600,00</t>
  </si>
  <si>
    <t>Ерш керамика Aster</t>
  </si>
  <si>
    <t>1190,00</t>
  </si>
  <si>
    <t>Стойка д/т Aster-держ т/б и освеж,ерш</t>
  </si>
  <si>
    <t>2207,00</t>
  </si>
  <si>
    <t>Крючок двойной Rose</t>
  </si>
  <si>
    <t>276,00</t>
  </si>
  <si>
    <t>Держатель т/б  Rose закрытый</t>
  </si>
  <si>
    <t>476,00</t>
  </si>
  <si>
    <t>Мыльница Rose</t>
  </si>
  <si>
    <t>488,00</t>
  </si>
  <si>
    <t>007-745-010-060</t>
  </si>
  <si>
    <t>Вешалка д/полот-ца трубчатая ANTIK бронз</t>
  </si>
  <si>
    <t>1298,00</t>
  </si>
  <si>
    <t>Полка стеклянная ANTIK бронза</t>
  </si>
  <si>
    <t>1668,00</t>
  </si>
  <si>
    <t>Крючок двойной ANTIK бронза</t>
  </si>
  <si>
    <t>626,00</t>
  </si>
  <si>
    <t>Стакан ANTIK бронза</t>
  </si>
  <si>
    <t>878,00</t>
  </si>
  <si>
    <t>Стакан двойной ANTIK бронза</t>
  </si>
  <si>
    <t>1310,00</t>
  </si>
  <si>
    <t>Мыльница стекло ANTIK бронза</t>
  </si>
  <si>
    <t>Мыльница решетка  ANTIK бронза</t>
  </si>
  <si>
    <t>982,00</t>
  </si>
  <si>
    <t>Держатель т/б с крышкой ANTIK бронза</t>
  </si>
  <si>
    <t>955,00</t>
  </si>
  <si>
    <t>Вешалка д/полот-ца кольцо ANTIK бронза</t>
  </si>
  <si>
    <t>Дозатор д/жид мыла ANTIK бронза</t>
  </si>
  <si>
    <t>1044,00</t>
  </si>
  <si>
    <t>Ершик ANTIK бронза</t>
  </si>
  <si>
    <t>1463,00</t>
  </si>
  <si>
    <t>Полка д/полотенец ANTIK бронза</t>
  </si>
  <si>
    <t>3578,00</t>
  </si>
  <si>
    <t>Стакан Mosaic</t>
  </si>
  <si>
    <t>587,00</t>
  </si>
  <si>
    <t>Полотенцедержатель 2-ой Mosaic поворотный</t>
  </si>
  <si>
    <t>1036,00</t>
  </si>
  <si>
    <t>Мыльница стекло Mosaic</t>
  </si>
  <si>
    <t>697,00</t>
  </si>
  <si>
    <t>Стакан стекло Mosaic</t>
  </si>
  <si>
    <t>550,00</t>
  </si>
  <si>
    <t>Ерш стекло Mosaic</t>
  </si>
  <si>
    <t>Запас элемент Мыльница стекло мат</t>
  </si>
  <si>
    <t>108,00</t>
  </si>
  <si>
    <t>117,00</t>
  </si>
  <si>
    <t>Запас элемент Мыльница стекло</t>
  </si>
  <si>
    <t>Запас элемент Стакан стекло мат</t>
  </si>
  <si>
    <t>Запас элемент Стакан стекло</t>
  </si>
  <si>
    <t>Запас элемент Стакан матовый для ерша</t>
  </si>
  <si>
    <t>293,00</t>
  </si>
  <si>
    <t>07 Доп. услуги</t>
  </si>
  <si>
    <t>007-745-010-070</t>
  </si>
  <si>
    <t>Полка угловая 3 ярусная хром</t>
  </si>
  <si>
    <t>680,00</t>
  </si>
  <si>
    <t>Полочка д/ванны угловая 1яр хр</t>
  </si>
  <si>
    <t>Полочка д/ванны угловая 2яр хр</t>
  </si>
  <si>
    <t>524,00</t>
  </si>
  <si>
    <t>Полочка д/ванны угловая 4яр хр</t>
  </si>
  <si>
    <t>946,00</t>
  </si>
  <si>
    <t>Полка прямая одноярусная SWR-021хром</t>
  </si>
  <si>
    <t>Полка прямая двухярусная  SWR-022 хром</t>
  </si>
  <si>
    <t>553,00</t>
  </si>
  <si>
    <t>Полка прямая трехярусная SWR-023 хром</t>
  </si>
  <si>
    <t>778,00</t>
  </si>
  <si>
    <t>Полк угл. двухяр выс борт SWR-042 хром</t>
  </si>
  <si>
    <t>708,00</t>
  </si>
  <si>
    <t>Полка угл трехяр выс борт SWR-043 хром</t>
  </si>
  <si>
    <t>1038,00</t>
  </si>
  <si>
    <t>Полка угловая 3 эт. 22,5х22,5х58 см</t>
  </si>
  <si>
    <t>165,00</t>
  </si>
  <si>
    <t>1396,00</t>
  </si>
  <si>
    <t>Полка угл двухъярусн 21*21*34,5 хром</t>
  </si>
  <si>
    <t>Полка 2-х яр с металлическими полками</t>
  </si>
  <si>
    <t>1198,00</t>
  </si>
  <si>
    <t>Полка прямая 2-х ярусная "бронзовая"</t>
  </si>
  <si>
    <t>1002367007 - ООО "Интер Трейд Групп"</t>
  </si>
  <si>
    <t>686,00</t>
  </si>
  <si>
    <t>Полка 3-х ярусная угловая Премиум SWENSA</t>
  </si>
  <si>
    <t>127,00</t>
  </si>
  <si>
    <t>ЛЦ Полка 3х ярусная угловая хром</t>
  </si>
  <si>
    <t>239,00</t>
  </si>
  <si>
    <t>Полка 2х ярусная угловая хром</t>
  </si>
  <si>
    <t>169,00</t>
  </si>
  <si>
    <t>Полка угловая 2-х ярусная  Bronze</t>
  </si>
  <si>
    <t>Полка прямая 3-х ярусная Modern</t>
  </si>
  <si>
    <t>898,00</t>
  </si>
  <si>
    <t>Полка угл 4 ярусная хром</t>
  </si>
  <si>
    <t>768,00</t>
  </si>
  <si>
    <t>Полка 2х ярусн прямая хром</t>
  </si>
  <si>
    <t>Полка угл 3 яр с пласт вкладышами,хром</t>
  </si>
  <si>
    <t>1353,00</t>
  </si>
  <si>
    <t>Корзинка прямоугольная на шурупах</t>
  </si>
  <si>
    <t>Корзинка овал 3 отд на шурупах</t>
  </si>
  <si>
    <t>Полка прямая 2 яруса Aster</t>
  </si>
  <si>
    <t>Полка прямая 3 яруса Aster</t>
  </si>
  <si>
    <t>3263,00</t>
  </si>
  <si>
    <t>Полка угловая 2 яр 24x24x30см</t>
  </si>
  <si>
    <t>46,00</t>
  </si>
  <si>
    <t>1751,00</t>
  </si>
  <si>
    <t>Полка настенная угловая Terra</t>
  </si>
  <si>
    <t>1845,00</t>
  </si>
  <si>
    <t>Полка настенная прямоугольная Terra</t>
  </si>
  <si>
    <t>Полка угловая 3 яр 24x24x56см</t>
  </si>
  <si>
    <t>Полка Антик 2 яр 27х20х34см угл,бронз</t>
  </si>
  <si>
    <t>855,00</t>
  </si>
  <si>
    <t>Полка Антик 3 яр 27х20х59см угл,бронз</t>
  </si>
  <si>
    <t>895,00</t>
  </si>
  <si>
    <t>Полка Антик 2 яр 40х11х28см прям,бронз</t>
  </si>
  <si>
    <t>684,00</t>
  </si>
  <si>
    <t>Полка Антик 3 яр 40х11х47см прям,бронз</t>
  </si>
  <si>
    <t>994,00</t>
  </si>
  <si>
    <t>Полка на крюк 3 яр</t>
  </si>
  <si>
    <t>007-745-010-080</t>
  </si>
  <si>
    <t>Полка угловая 4 яр. Prima Nova бел.</t>
  </si>
  <si>
    <t>522,00</t>
  </si>
  <si>
    <t>007-745-010-090</t>
  </si>
  <si>
    <t>Полотенцедержатель с полкой настенный</t>
  </si>
  <si>
    <t>1047,00</t>
  </si>
  <si>
    <t>Полотенцедержатель наклонный настенный</t>
  </si>
  <si>
    <t>1366,00</t>
  </si>
  <si>
    <t>007-745-010-100</t>
  </si>
  <si>
    <t>Диспенсер 300мл пластик</t>
  </si>
  <si>
    <t>406,00</t>
  </si>
  <si>
    <t>67,00</t>
  </si>
  <si>
    <t>408,00</t>
  </si>
  <si>
    <t>Диспенсер 400мл пластик</t>
  </si>
  <si>
    <t>435,00</t>
  </si>
  <si>
    <t>Диспенсер д/жид.мыла PRIMA NOVA бел.</t>
  </si>
  <si>
    <t>148,00</t>
  </si>
  <si>
    <t>353,00</t>
  </si>
  <si>
    <t>357,00</t>
  </si>
  <si>
    <t>Диспенсер 800мл металл</t>
  </si>
  <si>
    <t>1142,00</t>
  </si>
  <si>
    <t>Диспенсер 400мл металл</t>
  </si>
  <si>
    <t>960,00</t>
  </si>
  <si>
    <t>007-745-020-010</t>
  </si>
  <si>
    <t>Пробка для ванны (нерж+пластик)</t>
  </si>
  <si>
    <t>334,00</t>
  </si>
  <si>
    <t>Крючок большой самоклеющийся 3 шт.</t>
  </si>
  <si>
    <t>1003242007 - ООО "ТПК Таткрафт"</t>
  </si>
  <si>
    <t>128,00</t>
  </si>
  <si>
    <t>Мыльница Easy Solution присоска</t>
  </si>
  <si>
    <t>1002721007 - ООО "Фест"</t>
  </si>
  <si>
    <t>247,00</t>
  </si>
  <si>
    <t>Держатель т/б Easy Solution присоска</t>
  </si>
  <si>
    <t>121,00</t>
  </si>
  <si>
    <t>Стакан Easy Solution присоска</t>
  </si>
  <si>
    <t>Крючки Easy Solution 2 шт присоска</t>
  </si>
  <si>
    <t>417,00</t>
  </si>
  <si>
    <t>Полка глубокая Easy Solution присоска</t>
  </si>
  <si>
    <t>311,00</t>
  </si>
  <si>
    <t>Полка Easy Solution присоска</t>
  </si>
  <si>
    <t>Крючок на присоске Funny белый</t>
  </si>
  <si>
    <t>1003197007 - ООО "МИОЛЛА"</t>
  </si>
  <si>
    <t>Крючок на присоске Funny зел</t>
  </si>
  <si>
    <t>Крючок на присоске Funny оранж</t>
  </si>
  <si>
    <t>Крючок на присоске Funny голуб</t>
  </si>
  <si>
    <t>Мыльница на присоске Funny цв в ассорт</t>
  </si>
  <si>
    <t>294,00</t>
  </si>
  <si>
    <t>Крючок Звери в ассорт пласт/металл</t>
  </si>
  <si>
    <t>138,00</t>
  </si>
  <si>
    <t>91,00</t>
  </si>
  <si>
    <t>Планка с 3 крючками "Морская жизнь"</t>
  </si>
  <si>
    <t>95,00</t>
  </si>
  <si>
    <t>Крючок "Веселый человечек" присоска</t>
  </si>
  <si>
    <t>157,00</t>
  </si>
  <si>
    <t>Мыльница на присосках NEW</t>
  </si>
  <si>
    <t>Крючок 1 шт Вакуум</t>
  </si>
  <si>
    <t>Крючки на планке Вакуум</t>
  </si>
  <si>
    <t>238,00</t>
  </si>
  <si>
    <t>Стакан для з\щ Вакуум</t>
  </si>
  <si>
    <t>Корзинка угловая Вакуум</t>
  </si>
  <si>
    <t>676,00</t>
  </si>
  <si>
    <t>Ершик д/т Easy Solution присоска</t>
  </si>
  <si>
    <t>371,00</t>
  </si>
  <si>
    <t>Скребок  PUSHNLOC</t>
  </si>
  <si>
    <t>305,00</t>
  </si>
  <si>
    <t>007-745-020-020</t>
  </si>
  <si>
    <t>Кросс Крючок на присоске Tatkraft MAGIC HOOK</t>
  </si>
  <si>
    <t>184,00</t>
  </si>
  <si>
    <t>Держ д/фена присоска SMART LOCK хр</t>
  </si>
  <si>
    <t>384,00</t>
  </si>
  <si>
    <t>Держ стакана присоска SMART LOCK хр</t>
  </si>
  <si>
    <t>Крючок присоска SIMPLY LOCK хр</t>
  </si>
  <si>
    <t>Ершик д/туалета присоска SMART LOCK хр</t>
  </si>
  <si>
    <t>Мыльница присоска SMART LOCK хр</t>
  </si>
  <si>
    <t>Кольцо д/полотен присоска SMART LOCK хр</t>
  </si>
  <si>
    <t>423,00</t>
  </si>
  <si>
    <t>Держатель т/б присоска SMART LOCK хр</t>
  </si>
  <si>
    <t>687,00</t>
  </si>
  <si>
    <t>Держ т/б откр присоска SMART LOCK хр</t>
  </si>
  <si>
    <t>Крючок 2-ой присоска SMART LOCK хр</t>
  </si>
  <si>
    <t>Крючок 2-ой присоска SIMPLY LOCK хр</t>
  </si>
  <si>
    <t>280,00</t>
  </si>
  <si>
    <t>Полочка присоска SIMPLY LOCK хр</t>
  </si>
  <si>
    <t>756,00</t>
  </si>
  <si>
    <t>Держ т/б откр присоска SIMPLY LOCK хр</t>
  </si>
  <si>
    <t>338,00</t>
  </si>
  <si>
    <t>Планка 4 кр присоска SIMPLY LOCK хр</t>
  </si>
  <si>
    <t>701,00</t>
  </si>
  <si>
    <t>Мыльница с 2мя кр присоска SIMPLY LOCK хр</t>
  </si>
  <si>
    <t>525,00</t>
  </si>
  <si>
    <t>Ершик д/туалета присоска SIMPLY LOCK хр</t>
  </si>
  <si>
    <t>767,00</t>
  </si>
  <si>
    <t>Кольцо д/полотен присоска SIMPLY LOCK хр</t>
  </si>
  <si>
    <t>382,00</t>
  </si>
  <si>
    <t>678,00</t>
  </si>
  <si>
    <t>Держатель т/б присоска SIMPLY LOCK хр</t>
  </si>
  <si>
    <t>568,00</t>
  </si>
  <si>
    <t>Полотенцедерж присоска SIMPLY LOCK 45 хр</t>
  </si>
  <si>
    <t>Держатель полотенца SQUARE 3М 40 см</t>
  </si>
  <si>
    <t>1014,00</t>
  </si>
  <si>
    <t>Держатель полотенца SQUARE 3М 55 см</t>
  </si>
  <si>
    <t>1127,00</t>
  </si>
  <si>
    <t>Крючок 2-ой  SQUARE  3М</t>
  </si>
  <si>
    <t>446,00</t>
  </si>
  <si>
    <t>Подстаканник одинарный  SQUARE</t>
  </si>
  <si>
    <t>580,00</t>
  </si>
  <si>
    <t>Мыльница SQUARE 3М</t>
  </si>
  <si>
    <t>575,00</t>
  </si>
  <si>
    <t>Мыльница решетка  SQUARE 3М</t>
  </si>
  <si>
    <t>928,00</t>
  </si>
  <si>
    <t>Держатель запас рулона  SQUARE 3М</t>
  </si>
  <si>
    <t>Кольцо д/полотенца SQUARE 3М</t>
  </si>
  <si>
    <t>833,00</t>
  </si>
  <si>
    <t>Ерш д/унитаза SQUARE 3М</t>
  </si>
  <si>
    <t>1256,00</t>
  </si>
  <si>
    <t>Держатель стакана присоска Fest хр</t>
  </si>
  <si>
    <t>Кольцо д/полотенца присоска Fest хр</t>
  </si>
  <si>
    <t>458,00</t>
  </si>
  <si>
    <t>Держатель д/полотенца присоска Fest хр</t>
  </si>
  <si>
    <t>854,00</t>
  </si>
  <si>
    <t>Дозатор мыла присоска Fest хр</t>
  </si>
  <si>
    <t>665,00</t>
  </si>
  <si>
    <t>Крючок 2-ой присоска Fest хр</t>
  </si>
  <si>
    <t>615,00</t>
  </si>
  <si>
    <t>316,00</t>
  </si>
  <si>
    <t>Держатель для т/б присоска Fest хр</t>
  </si>
  <si>
    <t>Мыльница решетка присоска Fest хр</t>
  </si>
  <si>
    <t>491,00</t>
  </si>
  <si>
    <t>Корзинка присоска Fest угловая хр</t>
  </si>
  <si>
    <t>Корзинка с крючками присоска Fest хр</t>
  </si>
  <si>
    <t>964,00</t>
  </si>
  <si>
    <t>Держатель бум/полотенец присоска Fest хр</t>
  </si>
  <si>
    <t>Корзинка 2-ая присоска Fest угловая хр</t>
  </si>
  <si>
    <t>1518,00</t>
  </si>
  <si>
    <t>Планка 6 крючков присоска Fest хр</t>
  </si>
  <si>
    <t>Держатель д/осв воз присоска Fest хр</t>
  </si>
  <si>
    <t>Крючок двойной VACUUM SCREW</t>
  </si>
  <si>
    <t>Мешок-Сетка для игрушек VACUUM SCREW</t>
  </si>
  <si>
    <t>818,00</t>
  </si>
  <si>
    <t>Держатель т/б плюс ерш VACUUM SCREW</t>
  </si>
  <si>
    <t>1755,00</t>
  </si>
  <si>
    <t>Полка угловая 3-х ярусная VACUUM SCREW</t>
  </si>
  <si>
    <t>2400,00</t>
  </si>
  <si>
    <t>Полка 3-х ярусная VACUUM SCREW GUNTER</t>
  </si>
  <si>
    <t>2483,00</t>
  </si>
  <si>
    <t>Большая одноярусная полка VACUUM SCREW</t>
  </si>
  <si>
    <t>1192,00</t>
  </si>
  <si>
    <t>Вешалка с 3-мя планками VACUUM SCREW</t>
  </si>
  <si>
    <t>1294,00</t>
  </si>
  <si>
    <t>Скотч SQUARE 3М</t>
  </si>
  <si>
    <t>Крючок металл скотч</t>
  </si>
  <si>
    <t>209,00</t>
  </si>
  <si>
    <t>007-745-030-010</t>
  </si>
  <si>
    <t>Мыльница пластик</t>
  </si>
  <si>
    <t>448,00</t>
  </si>
  <si>
    <t>Ерш напольный "Лайт" пластик</t>
  </si>
  <si>
    <t>Ерш "Океан" голубой пластик</t>
  </si>
  <si>
    <t>Ерш ALLURE полистирол</t>
  </si>
  <si>
    <t>635,00</t>
  </si>
  <si>
    <t>Баночка ALLURE полистирол</t>
  </si>
  <si>
    <t>335,00</t>
  </si>
  <si>
    <t>Мыльница ALLURE полистирол</t>
  </si>
  <si>
    <t>Стакан ALLURE полистирол</t>
  </si>
  <si>
    <t>Стакан для з/щ ALLURE полистирол</t>
  </si>
  <si>
    <t>Дозатор ALLURE полистирол</t>
  </si>
  <si>
    <t>404,00</t>
  </si>
  <si>
    <t>Ерш SEA</t>
  </si>
  <si>
    <t>Мыльница SEA</t>
  </si>
  <si>
    <t>Стакан SEA</t>
  </si>
  <si>
    <t>Стакан д/зубных щеток SEA</t>
  </si>
  <si>
    <t>291,00</t>
  </si>
  <si>
    <t>Дозатор д/жидкого мыла SEA</t>
  </si>
  <si>
    <t>Ерш PUPPY</t>
  </si>
  <si>
    <t>Ерш FLORETTE</t>
  </si>
  <si>
    <t>695,00</t>
  </si>
  <si>
    <t>Мыльница FLORETTE</t>
  </si>
  <si>
    <t>92,00</t>
  </si>
  <si>
    <t>206,00</t>
  </si>
  <si>
    <t>Стакан FLORETTE</t>
  </si>
  <si>
    <t>Стакан д/зубных щеток FLORETTE</t>
  </si>
  <si>
    <t>Дозатор д/жидкого мыла FLORETTE</t>
  </si>
  <si>
    <t>272,00</t>
  </si>
  <si>
    <t>Стакан PUPPY</t>
  </si>
  <si>
    <t>Мыльница PUPPY</t>
  </si>
  <si>
    <t>Стакан д/зубных щеток PUPPY</t>
  </si>
  <si>
    <t>302,00</t>
  </si>
  <si>
    <t>Дозатор д/жидкого мыла PUPPY</t>
  </si>
  <si>
    <t>Ерш д/унитаза NUAGE</t>
  </si>
  <si>
    <t>770,00</t>
  </si>
  <si>
    <t>Мыльница NUAGE</t>
  </si>
  <si>
    <t>Стакан NUAGE</t>
  </si>
  <si>
    <t>Стакан д/зубных щеток NUAGE</t>
  </si>
  <si>
    <t>Дозатор д/жидкого мыла NUAGE</t>
  </si>
  <si>
    <t>455,00</t>
  </si>
  <si>
    <t>Мыльница Актру</t>
  </si>
  <si>
    <t>85,00</t>
  </si>
  <si>
    <t>Стакан для з/щ  Актру</t>
  </si>
  <si>
    <t>146,00</t>
  </si>
  <si>
    <t>Стакан Альма чер</t>
  </si>
  <si>
    <t>126,00</t>
  </si>
  <si>
    <t>Стакан Корбу</t>
  </si>
  <si>
    <t>Стакан для з/щ Корбу</t>
  </si>
  <si>
    <t>Стакан для з  Корбу зел</t>
  </si>
  <si>
    <t>Дозатор  Корбу зел</t>
  </si>
  <si>
    <t>227,00</t>
  </si>
  <si>
    <t>Мыльница Корбу зел</t>
  </si>
  <si>
    <t>Ерш  Корбу зел</t>
  </si>
  <si>
    <t>506,00</t>
  </si>
  <si>
    <t>Стакан Корбу оранж</t>
  </si>
  <si>
    <t>Стакан для з/щ  Корбу оранж</t>
  </si>
  <si>
    <t>Дозатор Корбу оранж</t>
  </si>
  <si>
    <t>Мыльница Корбу оранж</t>
  </si>
  <si>
    <t>Ерш Корбу оранж</t>
  </si>
  <si>
    <t>Стакан Курумы</t>
  </si>
  <si>
    <t>Стакан для з/щ Курумы</t>
  </si>
  <si>
    <t>193,00</t>
  </si>
  <si>
    <t>Стакан Альма бел</t>
  </si>
  <si>
    <t>Дозатор Альма беж</t>
  </si>
  <si>
    <t>188,00</t>
  </si>
  <si>
    <t>Стакан для з/щ  Альма беж</t>
  </si>
  <si>
    <t>Стакан Альма беж</t>
  </si>
  <si>
    <t>Мыльница Альма беж</t>
  </si>
  <si>
    <t>Стакан Альма син</t>
  </si>
  <si>
    <t>Мыльница Альма оранж</t>
  </si>
  <si>
    <t>Ерш Альма оранж</t>
  </si>
  <si>
    <t>393,00</t>
  </si>
  <si>
    <t>Дозатор Альма фиолет</t>
  </si>
  <si>
    <t>Стакан для з/щ  Альма фиолет</t>
  </si>
  <si>
    <t>Стакан Альма фиолет</t>
  </si>
  <si>
    <t>Мыльница Альма фиолет</t>
  </si>
  <si>
    <t>Ерш Альма фиолет</t>
  </si>
  <si>
    <t>Дозатор Альма зел</t>
  </si>
  <si>
    <t>Стакан для з/щ  Альма зел</t>
  </si>
  <si>
    <t>Стакан Альма зел</t>
  </si>
  <si>
    <t>Ерш Альма зел</t>
  </si>
  <si>
    <t>Стакан Парма бел</t>
  </si>
  <si>
    <t>77,00</t>
  </si>
  <si>
    <t>Стакан для з/щ Парма бел</t>
  </si>
  <si>
    <t>Дозатор Парма бел</t>
  </si>
  <si>
    <t>Ерш Парма бел</t>
  </si>
  <si>
    <t>322,00</t>
  </si>
  <si>
    <t>Мыльница Парма беж</t>
  </si>
  <si>
    <t>Стакан Парма беж</t>
  </si>
  <si>
    <t>Стакан для з/щ  Парма беж</t>
  </si>
  <si>
    <t>Дозатор Парма беж</t>
  </si>
  <si>
    <t>Ерш Парма беж</t>
  </si>
  <si>
    <t>Мыльница Парма зел</t>
  </si>
  <si>
    <t>Стакан для з/щ  Парма зел</t>
  </si>
  <si>
    <t>Дозатор Парма зел</t>
  </si>
  <si>
    <t>Ерш Парма зел</t>
  </si>
  <si>
    <t>Мыльница Парма син</t>
  </si>
  <si>
    <t>Стакан Парма син</t>
  </si>
  <si>
    <t>Дозатор Sole</t>
  </si>
  <si>
    <t>Стакан Sole</t>
  </si>
  <si>
    <t>173,00</t>
  </si>
  <si>
    <t>Стакан для з/щ  Sole</t>
  </si>
  <si>
    <t>Дозатор Primavera</t>
  </si>
  <si>
    <t>Ерш Primavera</t>
  </si>
  <si>
    <t>Мыльница Primavera</t>
  </si>
  <si>
    <t>155,00</t>
  </si>
  <si>
    <t>Стакан Primavera</t>
  </si>
  <si>
    <t>Стакан для з/щ Primavera</t>
  </si>
  <si>
    <t>Дозатор Marco</t>
  </si>
  <si>
    <t>Мыльница Marco</t>
  </si>
  <si>
    <t>183,00</t>
  </si>
  <si>
    <t>Стакан Marco</t>
  </si>
  <si>
    <t>202,00</t>
  </si>
  <si>
    <t>Стакан для з/щ  Marco</t>
  </si>
  <si>
    <t>215,00</t>
  </si>
  <si>
    <t>ЛЦ Дозатор "Aqua" цв в ассорт</t>
  </si>
  <si>
    <t>825,00</t>
  </si>
  <si>
    <t>ЛЦ Стакан для з/щ "Aqua" цв в ассорт</t>
  </si>
  <si>
    <t>ЛЦ Стакан "Aqua" цв в ассорт</t>
  </si>
  <si>
    <t>671,00</t>
  </si>
  <si>
    <t>Ершик "Joli"  мрамор</t>
  </si>
  <si>
    <t>258,00</t>
  </si>
  <si>
    <t>Мыльница Альма чер</t>
  </si>
  <si>
    <t>Дозатор LENOX беж</t>
  </si>
  <si>
    <t>485,00</t>
  </si>
  <si>
    <t>Ерш LENOX беж</t>
  </si>
  <si>
    <t>Мыльница LENOX беж</t>
  </si>
  <si>
    <t>310,00</t>
  </si>
  <si>
    <t>Стакан LENOX беж</t>
  </si>
  <si>
    <t>235,00</t>
  </si>
  <si>
    <t>Дозатор LENOX бел</t>
  </si>
  <si>
    <t>Ерш LENOX бел</t>
  </si>
  <si>
    <t>Мыльница LENOX бел</t>
  </si>
  <si>
    <t>Стакан LENOX бел</t>
  </si>
  <si>
    <t>Дозатор LENOX чёрн</t>
  </si>
  <si>
    <t>Ерш LENOX чёрн</t>
  </si>
  <si>
    <t>Мыльница LENOX чёрн</t>
  </si>
  <si>
    <t>Стакан LENOX чёрн</t>
  </si>
  <si>
    <t>007-745-030-030</t>
  </si>
  <si>
    <t>Дозатор Elegance</t>
  </si>
  <si>
    <t>1103,00</t>
  </si>
  <si>
    <t>Ершик Elegance</t>
  </si>
  <si>
    <t>1765,00</t>
  </si>
  <si>
    <t>Мыльница Elegance</t>
  </si>
  <si>
    <t>Дозатор для жидкого мыла Randig</t>
  </si>
  <si>
    <t>83,00</t>
  </si>
  <si>
    <t>Ершик Randig</t>
  </si>
  <si>
    <t>Мыльница Randig</t>
  </si>
  <si>
    <t>Стаканчик Randig</t>
  </si>
  <si>
    <t>Дозатор для ж/м SOVY</t>
  </si>
  <si>
    <t>387,00</t>
  </si>
  <si>
    <t>Стаканчик SOVY</t>
  </si>
  <si>
    <t>Стаканчик для з/щ SOVY</t>
  </si>
  <si>
    <t>Мыльница SOVY</t>
  </si>
  <si>
    <t>321,00</t>
  </si>
  <si>
    <t>Стакан для з/щ ROZY</t>
  </si>
  <si>
    <t>Стаканчик ROZY</t>
  </si>
  <si>
    <t>333,00</t>
  </si>
  <si>
    <t>Ерш напольный ROZY</t>
  </si>
  <si>
    <t>985,00</t>
  </si>
  <si>
    <t>Ерш напольный SOVY</t>
  </si>
  <si>
    <t>TG Ерш LEGEND керамика белый</t>
  </si>
  <si>
    <t>830,00</t>
  </si>
  <si>
    <t>TG Мыльница LEGEND керамика белый</t>
  </si>
  <si>
    <t>64,00</t>
  </si>
  <si>
    <t>TG Стакан LEGEND керамика белый</t>
  </si>
  <si>
    <t>TG Дозатор LEGEND керамика белый</t>
  </si>
  <si>
    <t>Мыльница LEGEND керамика голубой №4</t>
  </si>
  <si>
    <t>TG Ерш LEGEND керамика салатовый №3</t>
  </si>
  <si>
    <t>TG Мыльница LEGEND керамика салатовый №3</t>
  </si>
  <si>
    <t>TG Стакан LEGEND керамика салатовый №3</t>
  </si>
  <si>
    <t>TG Дозатор LEGEND керамика салатовый №3</t>
  </si>
  <si>
    <t>TG Ерш LEGEND керамика красн №3</t>
  </si>
  <si>
    <t>TG Мыльница LEGEND керамика красн №3</t>
  </si>
  <si>
    <t>TG Стакан LEGEND керамика красн №3</t>
  </si>
  <si>
    <t>TG Дозатор LEGEND керамика красн №3</t>
  </si>
  <si>
    <t>79,00</t>
  </si>
  <si>
    <t>TG Ерш LEGEND керамика оранж №4</t>
  </si>
  <si>
    <t>TG Мыльница LEGEND керамика  оранж №4</t>
  </si>
  <si>
    <t>TG Стакан LEGEND керамика  оранж №4</t>
  </si>
  <si>
    <t>TG Дозатор LEGEND керамика  оранж №4</t>
  </si>
  <si>
    <t>Ерш CLASSICO керамика</t>
  </si>
  <si>
    <t>Мыльница CLASSICO керамика</t>
  </si>
  <si>
    <t>236,00</t>
  </si>
  <si>
    <t>Стакан CLASSICO керамика</t>
  </si>
  <si>
    <t>Стакан для з/щ CLASSICO керамика</t>
  </si>
  <si>
    <t>Дозатор CLASSICO керамика</t>
  </si>
  <si>
    <t>324,00</t>
  </si>
  <si>
    <t>Ванночка LAVENDER керамика</t>
  </si>
  <si>
    <t>Ерш LAVENDER керамика</t>
  </si>
  <si>
    <t>Баночка LAVENDER керамика</t>
  </si>
  <si>
    <t>Мыльница LAVENDER керамика</t>
  </si>
  <si>
    <t>Стакан LAVENDER керамика</t>
  </si>
  <si>
    <t>Стакан для з/щ LAVENDER керамика</t>
  </si>
  <si>
    <t>Дозатор LAVENDER керамика</t>
  </si>
  <si>
    <t>Мыльница  ZOLY</t>
  </si>
  <si>
    <t>337,00</t>
  </si>
  <si>
    <t>Ерш напольный ZOLY</t>
  </si>
  <si>
    <t>1072,00</t>
  </si>
  <si>
    <t>Стакан Ажур,керамика</t>
  </si>
  <si>
    <t>243,00</t>
  </si>
  <si>
    <t>Мыльница Ажур,керамика</t>
  </si>
  <si>
    <t>234,00</t>
  </si>
  <si>
    <t>Ерш напольный Ажур,керамика</t>
  </si>
  <si>
    <t>718,00</t>
  </si>
  <si>
    <t>Мыльница Сирень</t>
  </si>
  <si>
    <t>156,00</t>
  </si>
  <si>
    <t>Стакан Сирень</t>
  </si>
  <si>
    <t>Дозатор Конте, керамика</t>
  </si>
  <si>
    <t>410,00</t>
  </si>
  <si>
    <t>Стакан з/щ Конте, керамика</t>
  </si>
  <si>
    <t>286,00</t>
  </si>
  <si>
    <t>Стакан Конте, керамика</t>
  </si>
  <si>
    <t>Мыльница Конте, керамика</t>
  </si>
  <si>
    <t>264,00</t>
  </si>
  <si>
    <t>Ерш Конте, керамика</t>
  </si>
  <si>
    <t>Ерш Терра, керамика</t>
  </si>
  <si>
    <t>781,00</t>
  </si>
  <si>
    <t>Стакан Птички</t>
  </si>
  <si>
    <t>Стакан для з/щ Птички</t>
  </si>
  <si>
    <t>Дозатор Птички</t>
  </si>
  <si>
    <t>200,00</t>
  </si>
  <si>
    <t>Мыльница Птички</t>
  </si>
  <si>
    <t>Ерш Птички</t>
  </si>
  <si>
    <t>Мыльница GOLDY, керамика</t>
  </si>
  <si>
    <t>320,00</t>
  </si>
  <si>
    <t>Стакан GOLDY, керамика</t>
  </si>
  <si>
    <t>340,00</t>
  </si>
  <si>
    <t>Стакан з/щ  GOLDY, керамика</t>
  </si>
  <si>
    <t>Дозатор GOLDY, керамика</t>
  </si>
  <si>
    <t>78,00</t>
  </si>
  <si>
    <t>007-745-030-050</t>
  </si>
  <si>
    <t>Мыльница KVADRO 1</t>
  </si>
  <si>
    <t>Дозатор д/жидкого мыла KVADRO 1</t>
  </si>
  <si>
    <t>Стакан д/зубных щеток KVADRO 1</t>
  </si>
  <si>
    <t>588,00</t>
  </si>
  <si>
    <t>Ерш д/унитаза KVADRO 2</t>
  </si>
  <si>
    <t>2068,00</t>
  </si>
  <si>
    <t>Мыльница KVADRO 2</t>
  </si>
  <si>
    <t>Дозатор д/жидкого мыла KVADRO2</t>
  </si>
  <si>
    <t>872,00</t>
  </si>
  <si>
    <t>Стакан д/зубных щеток KVADRO2</t>
  </si>
  <si>
    <t>514,00</t>
  </si>
  <si>
    <t>Дозатор д/жидкого мыла Bogema</t>
  </si>
  <si>
    <t>1134,00</t>
  </si>
  <si>
    <t>Стакан д/зубных щеток Bogema</t>
  </si>
  <si>
    <t>841,00</t>
  </si>
  <si>
    <t>Дозатор с подставкой BEST</t>
  </si>
  <si>
    <t>1046,00</t>
  </si>
  <si>
    <t>Корзинка ABSOLU нейлон крас №3</t>
  </si>
  <si>
    <t>Корзина ABSOLU нейлон беж №6</t>
  </si>
  <si>
    <t>Корзина ABSOLU нейлон корич №3</t>
  </si>
  <si>
    <t>Корзина ABSOLU нейлон серебро</t>
  </si>
  <si>
    <t>007-745-030-060</t>
  </si>
  <si>
    <t>Ерш д/унитаза URBAN</t>
  </si>
  <si>
    <t>Мыльница URBAN</t>
  </si>
  <si>
    <t>283,00</t>
  </si>
  <si>
    <t>Стакан д/зубных щеток URBAN</t>
  </si>
  <si>
    <t>Стакан URBAN</t>
  </si>
  <si>
    <t>Дозатор д/жидкого мыла URBAN</t>
  </si>
  <si>
    <t>007-745-030-070</t>
  </si>
  <si>
    <t xml:space="preserve"> Мыльница Galf</t>
  </si>
  <si>
    <t>248,00</t>
  </si>
  <si>
    <t>Диспенсер для жидкого мыла Galf</t>
  </si>
  <si>
    <t xml:space="preserve"> Стакан Galf</t>
  </si>
  <si>
    <t>282,00</t>
  </si>
  <si>
    <t>Дозатор Морская рыбка</t>
  </si>
  <si>
    <t>Мыльница Морская рыбка</t>
  </si>
  <si>
    <t>208,00</t>
  </si>
  <si>
    <t>Стакан Морская рыбка</t>
  </si>
  <si>
    <t>Дозатор Phalaenopsis</t>
  </si>
  <si>
    <t>412,00</t>
  </si>
  <si>
    <t>Ерш Phalaenopsis</t>
  </si>
  <si>
    <t>874,00</t>
  </si>
  <si>
    <t>Мыльница Phalaenopsis</t>
  </si>
  <si>
    <t>Стакан Phalaenopsis</t>
  </si>
  <si>
    <t>Стакан для з/щ Phalaenopsis</t>
  </si>
  <si>
    <t>007-745-030-080</t>
  </si>
  <si>
    <t>Ерш напольный "Антик" полирезина</t>
  </si>
  <si>
    <t>1105,00</t>
  </si>
  <si>
    <t>Стакан, с узором,акрил.  "Сирна"</t>
  </si>
  <si>
    <t>Стакан для з/щ,  с узором,акрил.  Сирна</t>
  </si>
  <si>
    <t>Дозатор с узором,акрил. "Сирна"</t>
  </si>
  <si>
    <t>Мыльница, с узором,акрил.  "Сирна"</t>
  </si>
  <si>
    <t>Дозатор ж/мыла "Флоренция" полирезина</t>
  </si>
  <si>
    <t>Стакан д/зуб "Флоренция" полирезина</t>
  </si>
  <si>
    <t>Стакан "Флоренция" полирезина</t>
  </si>
  <si>
    <t>Мыльница "Флоренция" полирезина</t>
  </si>
  <si>
    <t>Ерш VINTAGE полирезин</t>
  </si>
  <si>
    <t>654,00</t>
  </si>
  <si>
    <t>Мыльница VINTAGE полирезин</t>
  </si>
  <si>
    <t>Стакан VINTAGE полирезин</t>
  </si>
  <si>
    <t>Стакан для з/щ VINTAGE полирезин</t>
  </si>
  <si>
    <t>Дозатор VINTAGE полирезин</t>
  </si>
  <si>
    <t>Ерш SANDY полирезин</t>
  </si>
  <si>
    <t>940,00</t>
  </si>
  <si>
    <t>Баночка SANDY полирезин</t>
  </si>
  <si>
    <t>Стакан SANDY полирезин</t>
  </si>
  <si>
    <t>Стакан для з/щ SANDY полирезин</t>
  </si>
  <si>
    <t>Дозатор SANDY полирезин</t>
  </si>
  <si>
    <t>Ерш ROUNDY акрил</t>
  </si>
  <si>
    <t>643,00</t>
  </si>
  <si>
    <t>Мыльница ROUNDY акрил</t>
  </si>
  <si>
    <t>Стакан ROUNDY акрил</t>
  </si>
  <si>
    <t>Стакан для з/щ ROUNDY акрил</t>
  </si>
  <si>
    <t>Дозатор ROUNDY акрил</t>
  </si>
  <si>
    <t>Ерш д/унитаза CLASSIC</t>
  </si>
  <si>
    <t>844,00</t>
  </si>
  <si>
    <t>Мыльница CLASSIC</t>
  </si>
  <si>
    <t>363,00</t>
  </si>
  <si>
    <t>Стакан CLASSIC</t>
  </si>
  <si>
    <t>Стакан д/зубных щеток CLASSIC</t>
  </si>
  <si>
    <t>Дозатор д/жидкого мыла CLASSIC</t>
  </si>
  <si>
    <t>Мыльница GLAM</t>
  </si>
  <si>
    <t>295,00</t>
  </si>
  <si>
    <t>Баночка GLAM</t>
  </si>
  <si>
    <t>510,00</t>
  </si>
  <si>
    <t>Стакан GLAM</t>
  </si>
  <si>
    <t>315,00</t>
  </si>
  <si>
    <t>Стакан д/зубных щеток GLAM</t>
  </si>
  <si>
    <t>345,00</t>
  </si>
  <si>
    <t>Дозатор д/жидкого мыла GLAM</t>
  </si>
  <si>
    <t>425,00</t>
  </si>
  <si>
    <t>Ерш GLAM</t>
  </si>
  <si>
    <t>685,00</t>
  </si>
  <si>
    <t>Дозатор Vetta,беж,акрил</t>
  </si>
  <si>
    <t>Стакан з/щ Vetta,беж,акрил</t>
  </si>
  <si>
    <t>278,00</t>
  </si>
  <si>
    <t>Ерш Vetta,беж,акрил</t>
  </si>
  <si>
    <t>668,00</t>
  </si>
  <si>
    <t>Стакан з/щ Vetta,синий,акрил</t>
  </si>
  <si>
    <t>Стакан Vetta,синий,акрил</t>
  </si>
  <si>
    <t>142,00</t>
  </si>
  <si>
    <t>Мыльница Vetta,синий,акрил</t>
  </si>
  <si>
    <t>Ерш Vetta,синий,акрил</t>
  </si>
  <si>
    <t>364,00</t>
  </si>
  <si>
    <t>Дозатор Vetta,зеленый,акрил</t>
  </si>
  <si>
    <t>174,00</t>
  </si>
  <si>
    <t>Стакан з/щ Vetta,зеленый,акрил</t>
  </si>
  <si>
    <t>Стакан Vetta,зеленый,акрил</t>
  </si>
  <si>
    <t>Мыльница Vetta,зеленый,акрил</t>
  </si>
  <si>
    <t>Ерш Vetta,зеленый,акрил</t>
  </si>
  <si>
    <t>Стакан з/щ Vetta,серый,акрил</t>
  </si>
  <si>
    <t>Стакан Vetta,серый,акрил</t>
  </si>
  <si>
    <t>Стакан з/щ Vetta,ваниль,акрил</t>
  </si>
  <si>
    <t>Стакан Vetta,ваниль,акрил</t>
  </si>
  <si>
    <t>Мыльница Vetta,ваниль,акрил</t>
  </si>
  <si>
    <t>Ерш Vetta,ваниль,акрил</t>
  </si>
  <si>
    <t>533,00</t>
  </si>
  <si>
    <t>Дозатор Ракушки</t>
  </si>
  <si>
    <t>394,00</t>
  </si>
  <si>
    <t>Ерш Ракушки</t>
  </si>
  <si>
    <t>Мыльница Ракушки</t>
  </si>
  <si>
    <t>266,00</t>
  </si>
  <si>
    <t>Стакан для з/щ  Ракушки</t>
  </si>
  <si>
    <t>Стакан Ракушки</t>
  </si>
  <si>
    <t>Ерш Сирна</t>
  </si>
  <si>
    <t>536,00</t>
  </si>
  <si>
    <t>Стакан з/щ Версаче, полирезина</t>
  </si>
  <si>
    <t>Стакан Версаче, полирезина</t>
  </si>
  <si>
    <t>Мыльница Версаче, полирезина</t>
  </si>
  <si>
    <t>228,00</t>
  </si>
  <si>
    <t>Ерш Версаче, полирезина</t>
  </si>
  <si>
    <t>007-745-040-010</t>
  </si>
  <si>
    <t>Контейнер для мусора 0,75 л</t>
  </si>
  <si>
    <t>1000949007 - ООО "ТЦ Бытпласт"</t>
  </si>
  <si>
    <t>Бак для мусора URBAN 3л мат</t>
  </si>
  <si>
    <t>Контейнер д/мус Bears 1л</t>
  </si>
  <si>
    <t>132,00</t>
  </si>
  <si>
    <t>007-745-040-020</t>
  </si>
  <si>
    <t>Бак для мусора 5л хром</t>
  </si>
  <si>
    <t>Бак для мусора Slim 5 л хром</t>
  </si>
  <si>
    <t>1083,00</t>
  </si>
  <si>
    <t>Бак для мусора Happy 5 л белый</t>
  </si>
  <si>
    <t>720,00</t>
  </si>
  <si>
    <t>007-745-040-030</t>
  </si>
  <si>
    <t>Контейнер для мусора педальный 7 л</t>
  </si>
  <si>
    <t>Бак для мусора Happy 12 л хром</t>
  </si>
  <si>
    <t>1375,00</t>
  </si>
  <si>
    <t>Контейнер для мусора Плетенка 12 л бел</t>
  </si>
  <si>
    <t>1001187007 - ООО "Энди"</t>
  </si>
  <si>
    <t>583,00</t>
  </si>
  <si>
    <t>Корзина для бумаг Rattan 13 л</t>
  </si>
  <si>
    <t>007-745-050-020</t>
  </si>
  <si>
    <t>Этажерка под раковину двухъяр. хром</t>
  </si>
  <si>
    <t>1951,00</t>
  </si>
  <si>
    <t>Полка своб. стоящая 3 эт. 19x15x70,5 см</t>
  </si>
  <si>
    <t>1287,00</t>
  </si>
  <si>
    <t>Стеллаж 3-х ярусный</t>
  </si>
  <si>
    <t>1772,00</t>
  </si>
  <si>
    <t>Стеллаж 4-х яр с пластиковыми ящиками</t>
  </si>
  <si>
    <t>2774,00</t>
  </si>
  <si>
    <t>007-745-050-030</t>
  </si>
  <si>
    <t>Комплект для туалета БЛЕСК уголок</t>
  </si>
  <si>
    <t>461,00</t>
  </si>
  <si>
    <t>Комплект для туалета БЛЕСК СТАНДАРТ</t>
  </si>
  <si>
    <t>549,00</t>
  </si>
  <si>
    <t>Щеточка д/ершика</t>
  </si>
  <si>
    <t>Газетница-стойка с держателем т/б</t>
  </si>
  <si>
    <t>1361,00</t>
  </si>
  <si>
    <t>Ершик Numkesh металлик</t>
  </si>
  <si>
    <t>1212,00</t>
  </si>
  <si>
    <t>Стойка-ерш с держателем т/б, металл. колба</t>
  </si>
  <si>
    <t>Стойка-ерш с держателем т/б, пластик. колба</t>
  </si>
  <si>
    <t>Стойка-ерш с держателем т/б хром</t>
  </si>
  <si>
    <t>1446,00</t>
  </si>
  <si>
    <t>Ерш HAPPY оранжевый №4, металл</t>
  </si>
  <si>
    <t>Ерш HAPPY синий №4, металл</t>
  </si>
  <si>
    <t>Ерш HAPPY коричневый №3, металл</t>
  </si>
  <si>
    <t>Ерш HAPPY белый, металл</t>
  </si>
  <si>
    <t>Ерш HAPPY зеленый №3, металл</t>
  </si>
  <si>
    <t>Ерш напол н/сталь GEO</t>
  </si>
  <si>
    <t>Ерш напол н/сталь CIELO</t>
  </si>
  <si>
    <t>Ерш напол н/сталь OSAKA</t>
  </si>
  <si>
    <t>Комплект для туалета "ЭВИЯ"  цв в ассорт</t>
  </si>
  <si>
    <t>Комплект д/туалета СТАР</t>
  </si>
  <si>
    <t>Набор щеток для ершей (черная, белая)</t>
  </si>
  <si>
    <t>007-745-070-010</t>
  </si>
  <si>
    <t>Корзина для белья "плетенка" белая</t>
  </si>
  <si>
    <t>1000526007 - ООО "ЭкоГрупп"</t>
  </si>
  <si>
    <t>1622,00</t>
  </si>
  <si>
    <t>Корзина для белья угловая, 35 л.</t>
  </si>
  <si>
    <t>500,00</t>
  </si>
  <si>
    <t>Мешок для стирки 35х35х35 см</t>
  </si>
  <si>
    <t>Мешок для стирки нижнего белья 46х35 см</t>
  </si>
  <si>
    <t>74,00</t>
  </si>
  <si>
    <t>Мешок  для стирки 43х25х25 см</t>
  </si>
  <si>
    <t>Корзинка универсальная прямоугольная</t>
  </si>
  <si>
    <t>Корзинка универсальная с ручками</t>
  </si>
  <si>
    <t>144,00</t>
  </si>
  <si>
    <t>Короб д/белья склад крыш п/п</t>
  </si>
  <si>
    <t>1002568007 - ООО "ТД Уютный Дом"</t>
  </si>
  <si>
    <t>848,00</t>
  </si>
  <si>
    <t>Корзинка 315х130х85</t>
  </si>
  <si>
    <t>Корзина для белья узкая 430х260х585</t>
  </si>
  <si>
    <t>503,00</t>
  </si>
  <si>
    <t>Корз д/белья скл круг бамбук</t>
  </si>
  <si>
    <t>Корз д/белья скл квадр бамбук</t>
  </si>
  <si>
    <t>Корз д/белья склад угл бамбук HMT12.432</t>
  </si>
  <si>
    <t>Ведро для стирального порошка 8л</t>
  </si>
  <si>
    <t>Корзина для белья 60 л ротанг корич</t>
  </si>
  <si>
    <t>167,00</t>
  </si>
  <si>
    <t>787,00</t>
  </si>
  <si>
    <t>Корзина для белья 60 л ротанг белый</t>
  </si>
  <si>
    <t>Корзинка универсальная угловая 290х185х125</t>
  </si>
  <si>
    <t>Корзина для белья "Rattan Style" 50л</t>
  </si>
  <si>
    <t>628,00</t>
  </si>
  <si>
    <t>Корзина для белья "плетенка" беж</t>
  </si>
  <si>
    <t>Контейнер для стирального порошка 5л</t>
  </si>
  <si>
    <t>241,00</t>
  </si>
  <si>
    <t>271,00</t>
  </si>
  <si>
    <t>Корзина бельевая плетеная Овал</t>
  </si>
  <si>
    <t>1000338007 - ЗАО ТПК "МАГАМАКС"</t>
  </si>
  <si>
    <t>1643,00</t>
  </si>
  <si>
    <t>Корзина для белья КРУЖЕВО 50л РР</t>
  </si>
  <si>
    <t>Корзина для белья 55л жемчуг</t>
  </si>
  <si>
    <t>Корзина д/белья Lenox 50л в ассорт</t>
  </si>
  <si>
    <t>618,00</t>
  </si>
  <si>
    <t>007-745-070-020</t>
  </si>
  <si>
    <t>Сушилка настенная BRIO 120 SUPER 6м эмал</t>
  </si>
  <si>
    <t>1320,00</t>
  </si>
  <si>
    <t>Сушилка настенная BRIO 60 SUPER 3м эмаль</t>
  </si>
  <si>
    <t>832,00</t>
  </si>
  <si>
    <t>Сушилка потолочная LIFT 140 8,4м эмаль</t>
  </si>
  <si>
    <t>1817,00</t>
  </si>
  <si>
    <t>Сушилка потолочная LIFT 160 9,6 эмаль</t>
  </si>
  <si>
    <t>1984,00</t>
  </si>
  <si>
    <t>Сушилка настенная BRIO 80 SUPER 3м эмаль</t>
  </si>
  <si>
    <t>Сушилка Lift Comfort потолочная 120</t>
  </si>
  <si>
    <t>1000830007 - ООО "ЭЛИТ"</t>
  </si>
  <si>
    <t>578,00</t>
  </si>
  <si>
    <t>Сушилка Lift Comfort потолочная 140</t>
  </si>
  <si>
    <t>602,00</t>
  </si>
  <si>
    <t>Сушилка Lift Comfort потолочная 160</t>
  </si>
  <si>
    <t>430,00</t>
  </si>
  <si>
    <t>Сушилка Lift Comfort потолочная 180</t>
  </si>
  <si>
    <t>696,00</t>
  </si>
  <si>
    <t>Сушилка "Rotor-4 NEW"</t>
  </si>
  <si>
    <t>1000312007 - ЗАО "Стар Экспо"</t>
  </si>
  <si>
    <t>Сушилка Настенная Веревочная Rotor 6 21м</t>
  </si>
  <si>
    <t>1042,00</t>
  </si>
  <si>
    <t>Сушилка д/белья 4 линии</t>
  </si>
  <si>
    <t>348,00</t>
  </si>
  <si>
    <t>Сушилка д/белья 6 линий</t>
  </si>
  <si>
    <t>501,00</t>
  </si>
  <si>
    <t>Сушилка потолочная LIFT 180 10,5м эмаль</t>
  </si>
  <si>
    <t>2288,00</t>
  </si>
  <si>
    <t>Сушилка потолочная LIFT 200 12м эмаль</t>
  </si>
  <si>
    <t>147,00</t>
  </si>
  <si>
    <t>Сушилка для белья напольная Extend 18 м</t>
  </si>
  <si>
    <t>ЛЦ Сушилка для белья напольная 16 м</t>
  </si>
  <si>
    <t>319,00</t>
  </si>
  <si>
    <t>460,00</t>
  </si>
  <si>
    <t>Сушилка для белья Лиана-5 2,0 м</t>
  </si>
  <si>
    <t>Сушилка для белья Лиана-5 2,8 м</t>
  </si>
  <si>
    <t>987,00</t>
  </si>
  <si>
    <t>Сушилка для белья Лиана-5 2,2 м</t>
  </si>
  <si>
    <t>688,00</t>
  </si>
  <si>
    <t>Сушилка для белья Лиана-5 2,4 м</t>
  </si>
  <si>
    <t>722,00</t>
  </si>
  <si>
    <t>Сушилка напольная телескопическая Extra Line</t>
  </si>
  <si>
    <t>3297,00</t>
  </si>
  <si>
    <t>Сушилка напольная Extend Aluminium 18 м</t>
  </si>
  <si>
    <t>1787,00</t>
  </si>
  <si>
    <t>Сушилка настенная Space складная 2,5 м</t>
  </si>
  <si>
    <t>Сушилка для белья Extend Silver 18M</t>
  </si>
  <si>
    <t>007-745-080-010</t>
  </si>
  <si>
    <t>Штора д/ванны Gold Rush 180х200 ПВХ</t>
  </si>
  <si>
    <t>100,00</t>
  </si>
  <si>
    <t>581,00</t>
  </si>
  <si>
    <t>Штора д/ванны HALF MOON 180х200 PEVA</t>
  </si>
  <si>
    <t>397,00</t>
  </si>
  <si>
    <t>Штора д/ванны Ромашки 180х200 ПВХ</t>
  </si>
  <si>
    <t>540,00</t>
  </si>
  <si>
    <t>Штора д/в Barber 180х200 PEVA</t>
  </si>
  <si>
    <t>Штора д/в Dot 180х200 PEVA</t>
  </si>
  <si>
    <t>Штора д/в WATER 3D 180х200 EVA</t>
  </si>
  <si>
    <t>Штора д/в Romantic 180х200 П/Э</t>
  </si>
  <si>
    <t>007-745-080-020</t>
  </si>
  <si>
    <t xml:space="preserve"> Штора Дельфины 180х180см полиэтилен</t>
  </si>
  <si>
    <t>18207 - ООО "Вилина"</t>
  </si>
  <si>
    <t>Штора Египет 180х180см текст бежевый</t>
  </si>
  <si>
    <t xml:space="preserve"> Штора Розовые ракушки 180х180см текст</t>
  </si>
  <si>
    <t>Шторка  для ванной Rogai 180х180 см</t>
  </si>
  <si>
    <t>704,00</t>
  </si>
  <si>
    <t>Кросс Штора д/ванны 178х180, ПВХ, в асс</t>
  </si>
  <si>
    <t>Штора Maravillas</t>
  </si>
  <si>
    <t>664,00</t>
  </si>
  <si>
    <t>Штора Квадраты 3D 180х180</t>
  </si>
  <si>
    <t>451,00</t>
  </si>
  <si>
    <t>Штора Ветки 180х180 PEVA</t>
  </si>
  <si>
    <t>Штора Капли 180х180 PEVA</t>
  </si>
  <si>
    <t>Штора Листья 180х180 PEVA</t>
  </si>
  <si>
    <t>Штора д/в Белая плитка 180х180</t>
  </si>
  <si>
    <t>203,00</t>
  </si>
  <si>
    <t>Штора д/в Цветной тетрис 180х180</t>
  </si>
  <si>
    <t>Штора д/в Ракушки 180х180</t>
  </si>
  <si>
    <t>Штора д/в Гуси-лебеди 180х180</t>
  </si>
  <si>
    <t>007-745-080-030</t>
  </si>
  <si>
    <t>Занавеска д/ванн Dagha 240x200см П/Э беж</t>
  </si>
  <si>
    <t>007-745-090-010</t>
  </si>
  <si>
    <t>Штора Бамбук 180х200см</t>
  </si>
  <si>
    <t>Штора 180х200см Калейдоскоп П/Э</t>
  </si>
  <si>
    <t>Штора 180х200см Ромбы зеленая П/Э</t>
  </si>
  <si>
    <t>63,00</t>
  </si>
  <si>
    <t>Штора 180х200см Ромбы красная П/Э</t>
  </si>
  <si>
    <t>Кросс Штора  180х200см в мешочке микс П/Э</t>
  </si>
  <si>
    <t>421,00</t>
  </si>
  <si>
    <t>Штора д/ванны London print 180*200 П/Э</t>
  </si>
  <si>
    <t>1018,00</t>
  </si>
  <si>
    <t>Штора д/ванны Palma 2 синий 180х200 П/Э</t>
  </si>
  <si>
    <t>Штора д/ванны Istridye 180х200 П/Э</t>
  </si>
  <si>
    <t>454,00</t>
  </si>
  <si>
    <t>Штора д/ванны Zumrut 180х200 П/Э красн</t>
  </si>
  <si>
    <t>Штора д/ванны Zumrut 180х200 П/Э корич</t>
  </si>
  <si>
    <t>Штора д/ванны Zumrut 180х200 П/Э серый</t>
  </si>
  <si>
    <t>-1,00</t>
  </si>
  <si>
    <t>Штора д/ванны La perla 180х200 П/Э</t>
  </si>
  <si>
    <t>1768,00</t>
  </si>
  <si>
    <t>Штора д/ванны Pilastro 180х180 П/Э</t>
  </si>
  <si>
    <t>Штора д/ванны Due Gattu 180х180 П/Э</t>
  </si>
  <si>
    <t>Штора д/ванны Arabesko 180х180 П/Э</t>
  </si>
  <si>
    <t>Штора д/ванны Ami d enfance 180х180 П/Э</t>
  </si>
  <si>
    <t>Штора д/ванны Oxford 180х200 П/Э</t>
  </si>
  <si>
    <t>1034,00</t>
  </si>
  <si>
    <t>Штора д/ванны Ампир 180х200 П/Э</t>
  </si>
  <si>
    <t>Штора д/ванны Прованс 180х200 П/Э</t>
  </si>
  <si>
    <t>Штора д/в Blossom 180х200 П/Э</t>
  </si>
  <si>
    <t>480,00</t>
  </si>
  <si>
    <t>Штора д/в Гортензия 180х200 П/Э</t>
  </si>
  <si>
    <t>Штора д/в Hearts 180х200 П/Э</t>
  </si>
  <si>
    <t>590,00</t>
  </si>
  <si>
    <t>Штора д/в DIAMOND 3D 180х200 EVA</t>
  </si>
  <si>
    <t>657,00</t>
  </si>
  <si>
    <t>ТОП 1000 Штора д/ванны HAPPY 180х200 П/Э</t>
  </si>
  <si>
    <t>350,00</t>
  </si>
  <si>
    <t>007-745-090-020</t>
  </si>
  <si>
    <t>Штора д/ванны Rome 180x180 П/Э беж</t>
  </si>
  <si>
    <t>800,00</t>
  </si>
  <si>
    <t>Штора д/ванны Dolphin Dance 180x180 П/Э гол</t>
  </si>
  <si>
    <t>Шторка д/ван DAGHA 180х180 П/Э беж</t>
  </si>
  <si>
    <t>Шторка д/ванны AZURN 180x180 текст беж</t>
  </si>
  <si>
    <t>630,00</t>
  </si>
  <si>
    <t>Шторка д/ванны NATAKI 180x180 текст беж</t>
  </si>
  <si>
    <t>636,00</t>
  </si>
  <si>
    <t>Шторка д/ван INDWEN П/Э беж</t>
  </si>
  <si>
    <t>693,00</t>
  </si>
  <si>
    <t>Штора д/ванны FUNNY CATS 180x180 П/Э</t>
  </si>
  <si>
    <t>Штора д/ванны Пузыри 180х180 зеленая П/Э</t>
  </si>
  <si>
    <t>Штора д/ванны 180х180 Чауда П/Э</t>
  </si>
  <si>
    <t>Штора д/ванны Ливадия 180х180 П/Э</t>
  </si>
  <si>
    <t>Штора д/ванны Кастель 180х180 П/Э</t>
  </si>
  <si>
    <t>Штора д/ванны 180х180 Ласпи П/Э</t>
  </si>
  <si>
    <t>Штора д/ванны 180х180 Тиритака П/Э</t>
  </si>
  <si>
    <t>Штора д/ванны FUNNY SHEEPS 180х180 П/Э</t>
  </si>
  <si>
    <t>Штора д/в Спа 180х180,П/Э,беж</t>
  </si>
  <si>
    <t>Штора д/в Грин 180х180,П/Э</t>
  </si>
  <si>
    <t>Штора д/в Парус 180х180,П/Э,син</t>
  </si>
  <si>
    <t>Штора д/в Парус 180х180,П/Э,беж</t>
  </si>
  <si>
    <t>Штора д/в Якорь 180х180,П/Э</t>
  </si>
  <si>
    <t>Штора "Бриллиант" 180х180 см, П/Э беж</t>
  </si>
  <si>
    <t>Штора "Бриллиант" 180х180 см, П/Э голуб</t>
  </si>
  <si>
    <t>Штора "Бриллиант" 180х180 см, П/Э зел</t>
  </si>
  <si>
    <t>Штора "Бриллиант" 180х180 см, П/Э роз</t>
  </si>
  <si>
    <t>Штора д/в Антураж 180х180 П/Э</t>
  </si>
  <si>
    <t>Штора д/в Флора 180х180 П/Э</t>
  </si>
  <si>
    <t>Штора д/в Лэйс 180х180 П/Э</t>
  </si>
  <si>
    <t>Штора д/в Fresco 180х180 П/Э зел</t>
  </si>
  <si>
    <t>745,00</t>
  </si>
  <si>
    <t>Штора д/в Fresco 180х180 беж П/Э</t>
  </si>
  <si>
    <t>Штора д/в Vostok 180х180, п/э</t>
  </si>
  <si>
    <t>1003083007 - ООО"Янтарь"</t>
  </si>
  <si>
    <t>Штора д/в Yellow Orchid 180х180 п/э</t>
  </si>
  <si>
    <t>788,00</t>
  </si>
  <si>
    <t>Штора д/в Mood 180х180, п/э</t>
  </si>
  <si>
    <t>Штора д/в Bliss 180х180, п/э</t>
  </si>
  <si>
    <t>Штора д/в Gold Angel 180х180, п/э</t>
  </si>
  <si>
    <t>Штора д/в Silver Silk 180х180, п/э</t>
  </si>
  <si>
    <t>Штора д/в Zhakkard 180х180,бел п/э</t>
  </si>
  <si>
    <t>Штора д/в Zhakkard 180х180,беж п/э</t>
  </si>
  <si>
    <t>Штора д/ванны Petali 180x180 молоч</t>
  </si>
  <si>
    <t>Штора д/ванны Petal 180x180 беж</t>
  </si>
  <si>
    <t>007-745-100-010</t>
  </si>
  <si>
    <t>Карниз д/ванны 122/218см зеленый</t>
  </si>
  <si>
    <t>Карниз д/ванны 122/218см белый</t>
  </si>
  <si>
    <t>101,00</t>
  </si>
  <si>
    <t>521,00</t>
  </si>
  <si>
    <t>Карниз д/ванных комнат 137/250см хром</t>
  </si>
  <si>
    <t>Штанга для шторки 110-200 см д.22 мм</t>
  </si>
  <si>
    <t>201,00</t>
  </si>
  <si>
    <t>Телескоп штанга,сталь 110-200см д 22 мм</t>
  </si>
  <si>
    <t>175,00</t>
  </si>
  <si>
    <t>Карниз д/в угловой 80х110-190 хром</t>
  </si>
  <si>
    <t>Карниз д/в гибкий 300 см белый</t>
  </si>
  <si>
    <t>1485,00</t>
  </si>
  <si>
    <t>Карниз д/в гибкий 3х1 м хром</t>
  </si>
  <si>
    <t>1916,00</t>
  </si>
  <si>
    <t>Карниз д/в угловой 160х105 хром</t>
  </si>
  <si>
    <t>Карниз д/в угловой 140х140 хром</t>
  </si>
  <si>
    <t>Струна д/в регулир 220см</t>
  </si>
  <si>
    <t>Карниз EXTENSIBLE 120-220см белый</t>
  </si>
  <si>
    <t>007-745-100-030</t>
  </si>
  <si>
    <t>Штанга П-образная 90*90*90 диам.22 бел</t>
  </si>
  <si>
    <t>Штанга П-образная 90*90*90 диам22 хром</t>
  </si>
  <si>
    <t>007-745-100-040</t>
  </si>
  <si>
    <t>Крепеж для карниза потолочный 50 см хром</t>
  </si>
  <si>
    <t>007-745-100-050</t>
  </si>
  <si>
    <t>Кольца для штор 12шт пластик бежевые</t>
  </si>
  <si>
    <t>Кольца для штор 12шт пластик прозрачные</t>
  </si>
  <si>
    <t>Кольца для штор 12шт пластик хром</t>
  </si>
  <si>
    <t>152,00</t>
  </si>
  <si>
    <t>Кольца для штор 12шт пластик зеленые</t>
  </si>
  <si>
    <t>Кольца для штор 12шт пластик синие</t>
  </si>
  <si>
    <t>Кольца для штор 12шт пластик белые</t>
  </si>
  <si>
    <t>244,00</t>
  </si>
  <si>
    <t>Кольца для штор 12шт металл</t>
  </si>
  <si>
    <t>Кольцо для шторок с клипсами(белое)</t>
  </si>
  <si>
    <t>151,00</t>
  </si>
  <si>
    <t>Кольцо для шторок с клипсами(прозрачное)</t>
  </si>
  <si>
    <t>007-745-110-010</t>
  </si>
  <si>
    <t>Сидение на ванну пластик</t>
  </si>
  <si>
    <t>Сиденье настенное 35*25 см</t>
  </si>
  <si>
    <t>Стул для ванной 25*29*45 см  алюм ножки</t>
  </si>
  <si>
    <t>Сиденье для ванной (белое)</t>
  </si>
  <si>
    <t>007-745-110-030</t>
  </si>
  <si>
    <t>Поручень 30 см</t>
  </si>
  <si>
    <t>623,00</t>
  </si>
  <si>
    <t>Поручень универ д/ванны пласт</t>
  </si>
  <si>
    <t>Поручень настенный для ванны и WC 460мм</t>
  </si>
  <si>
    <t>744,00</t>
  </si>
  <si>
    <t>Поручень на борт ванны  514 мм *225 мм</t>
  </si>
  <si>
    <t>007-745-110-050</t>
  </si>
  <si>
    <t>Коврик в ванну 36х71 бел</t>
  </si>
  <si>
    <t>Коврик в ванну 36х71 зел</t>
  </si>
  <si>
    <t>подголовник 25х34 бел</t>
  </si>
  <si>
    <t>367,00</t>
  </si>
  <si>
    <t>Подголовник 25х34 зел</t>
  </si>
  <si>
    <t>Противоскользящий коврик  с подушкой</t>
  </si>
  <si>
    <t>Подушка в ванную 33х33</t>
  </si>
  <si>
    <t>007-745-120-010</t>
  </si>
  <si>
    <t>Накладка к сидению для унитаза детская</t>
  </si>
  <si>
    <t>Сиденье для унитаза "S" белое</t>
  </si>
  <si>
    <t>1002458007 - ООО "ВИРКЭН-РУС"</t>
  </si>
  <si>
    <t>Сиденье для унитаза "V" белое</t>
  </si>
  <si>
    <t>130,00</t>
  </si>
  <si>
    <t>Сидение д/унитаза Optim PP полипропилен</t>
  </si>
  <si>
    <t>1002266007 - ООО "Сан Сити Ру"</t>
  </si>
  <si>
    <t>Сидение д/унитаза Zet PP полипропилен</t>
  </si>
  <si>
    <t>Сидение Uno PP п/п</t>
  </si>
  <si>
    <t>627,00</t>
  </si>
  <si>
    <t>Сиденье д/унитаза UNO,полипропилен,м/л,б/с</t>
  </si>
  <si>
    <t>1460,00</t>
  </si>
  <si>
    <t>Сиденье д/унитаза Nord PP</t>
  </si>
  <si>
    <t>Сиденье д/унитаза Star PP</t>
  </si>
  <si>
    <t>007-745-120-020</t>
  </si>
  <si>
    <t>Сиденье д/унитаза Alaska дюропласт белое</t>
  </si>
  <si>
    <t>Сиденье д/унитаза Pole дюропласт белое</t>
  </si>
  <si>
    <t>Сиденье д/унитаза "Орио" круг.салат</t>
  </si>
  <si>
    <t>1001293007 - ООО "Сантехпродукт"</t>
  </si>
  <si>
    <t>Сиденье д/унитаза "Орио"круг.перламутр</t>
  </si>
  <si>
    <t>Сиденье д/унитаза "Орио" ракушка бел</t>
  </si>
  <si>
    <t>Крепления к сид  д/унит хромир латунь</t>
  </si>
  <si>
    <t>Крепления к сид д/унитаза  пластик</t>
  </si>
  <si>
    <t>Сидение д/унитаза Optim AB, дюропласт</t>
  </si>
  <si>
    <t>1553,00</t>
  </si>
  <si>
    <t>Сиденье д/унитаза SPARTA+,дюропласт,м/л</t>
  </si>
  <si>
    <t>1592,00</t>
  </si>
  <si>
    <t>Сиденье д/унитаза KLIK,дюропласт,м/л,б/с</t>
  </si>
  <si>
    <t>1820,00</t>
  </si>
  <si>
    <t>Сиденье д/унитаза "Орио" универ.беж</t>
  </si>
  <si>
    <t>Сиденье д/унитаза "Орио" универ.бел</t>
  </si>
  <si>
    <t>Сиденье д/унитаза "Орио" ракушка перламутр</t>
  </si>
  <si>
    <t>445,00</t>
  </si>
  <si>
    <t>Сиденье д/унитаза "Орио" универ.кор</t>
  </si>
  <si>
    <t>Сиденье д/унитаза термопласт Пляж</t>
  </si>
  <si>
    <t>Сиденье д/унитаза термопласт Природа</t>
  </si>
  <si>
    <t>Сиденье д/унитаза "Самара",дюропласт,м/л</t>
  </si>
  <si>
    <t>1193,00</t>
  </si>
  <si>
    <t>Сиденье д/унитаза Lux АВ</t>
  </si>
  <si>
    <t>Сиденье д/унитаза Cezar AB, дюропласт</t>
  </si>
  <si>
    <t>1625,00</t>
  </si>
  <si>
    <t>Сиденье д/унитаза Uno А (шпилька)</t>
  </si>
  <si>
    <t>1700,00</t>
  </si>
  <si>
    <t>Сиденье д/унитаза Bas А (шпилька)</t>
  </si>
  <si>
    <t>Сиденье д/унитаза Aloe AB, дюропласт</t>
  </si>
  <si>
    <t>Сиденье Family PS м/л c детской накладкой</t>
  </si>
  <si>
    <t>007-745-120-030</t>
  </si>
  <si>
    <t>Сиденье д/унитаза VENEER,дерево</t>
  </si>
  <si>
    <t>Сиденье д/унитаза CERIZA,дерево</t>
  </si>
  <si>
    <t>2475,00</t>
  </si>
  <si>
    <t>007-745-120-040</t>
  </si>
  <si>
    <t>Сиденье д/унитаза YOUNG,МДФ</t>
  </si>
  <si>
    <t>Сиденье д/унитаза ALBA,МДФ</t>
  </si>
  <si>
    <t>976,00</t>
  </si>
  <si>
    <t>Сиденье д/унитаза PURITY,МДФ,м/л,б/с</t>
  </si>
  <si>
    <t>2656,00</t>
  </si>
  <si>
    <t>Сиденье д/унитаза BOLERO,МДФ,м/л</t>
  </si>
  <si>
    <t>1721,00</t>
  </si>
  <si>
    <t>Сиденье д/унитаза HORIZON,МДФ</t>
  </si>
  <si>
    <t>2035,00</t>
  </si>
  <si>
    <t>Сиденье д/унитаза ROCIO,МДФ</t>
  </si>
  <si>
    <t>Сиденье д/унитаза LOTUS,МДФ</t>
  </si>
  <si>
    <t>007-745-120-050</t>
  </si>
  <si>
    <t>Сидение для унитаза мягкое (бежевое)</t>
  </si>
  <si>
    <t>433,00</t>
  </si>
  <si>
    <t>Сидение для унитаза мягкое (зеленое)</t>
  </si>
  <si>
    <t>Сидение для унитаза мягкое (голубое)</t>
  </si>
  <si>
    <t>Сидение для унитаза мягкое Рыбки</t>
  </si>
  <si>
    <t>Сидение для унитаза мягкое Ракушка</t>
  </si>
  <si>
    <t>Сиденье д/унитаза детское с ручками</t>
  </si>
  <si>
    <t>170,00</t>
  </si>
  <si>
    <t>007-745-130-010</t>
  </si>
  <si>
    <t>Коврик д/ванны SAND 80х50 бежевый</t>
  </si>
  <si>
    <t>1000391007 - ООО "МАКСИ-СТАЙЛ"</t>
  </si>
  <si>
    <t>Коврик д/ванны BLACK WHITE 80х50 белый</t>
  </si>
  <si>
    <t>Коврик д/в CHENILLE 50Х80 хлоп салат №3</t>
  </si>
  <si>
    <t>Коврик д/в CHENILLE 50Х80 хлоп фиолет №3</t>
  </si>
  <si>
    <t>Коврик д/в CHENILLE 50Х80 хлоп оранж №3</t>
  </si>
  <si>
    <t>Коврик д/в CHENILLE 50Х80 хлоп беж №6</t>
  </si>
  <si>
    <t>Коврик д/ванн Cuori 50х80 микроф белый</t>
  </si>
  <si>
    <t>1282,00</t>
  </si>
  <si>
    <t>Коврик д/в LOUNGE 50Х70 м/фибра синий №1</t>
  </si>
  <si>
    <t>Коврик д/в LOUNGE 50Х70 м/фибра роз №3</t>
  </si>
  <si>
    <t>Коврик д/в LOUNGE 50Х70 м/фибра корич №1</t>
  </si>
  <si>
    <t>Коврик для ванны LOUNGE 50х70 беж</t>
  </si>
  <si>
    <t>Коврик д/ванны OVAL 40х60 микроф сер</t>
  </si>
  <si>
    <t>1081,00</t>
  </si>
  <si>
    <t>Коврик для в/к Ramage 50х80 хлопок беж</t>
  </si>
  <si>
    <t>1196,00</t>
  </si>
  <si>
    <t>Коврик д/в BUBBLE 50Х80 хлопок красн №3</t>
  </si>
  <si>
    <t>Коврик д/в BUBBLE 50Х80 хлопок корич №3</t>
  </si>
  <si>
    <t>Коврик д/в BOUCLETT 50Х80 хлоп красн №5</t>
  </si>
  <si>
    <t>396,00</t>
  </si>
  <si>
    <t>Коврик д/в MINT 50Х80 хлопок голуб</t>
  </si>
  <si>
    <t>Коврик д/в CHOCO 50Х80 хлопок беж</t>
  </si>
  <si>
    <t>Коврик д/в LOUNGE 50Х70 м/фибра фиол №6</t>
  </si>
  <si>
    <t>Коврик д/в LOUNGE 50Х70 м/фибра син №6</t>
  </si>
  <si>
    <t>Коврик д/в LOUNGE 50Х70 м/фибра зел №3</t>
  </si>
  <si>
    <t>Коврик  HURREM 50х80 ПП зеленый</t>
  </si>
  <si>
    <t>Коврик  HURREM 50х80 ПП коричневый</t>
  </si>
  <si>
    <t>Коврик  HURREM 50х80 ПП бежевый</t>
  </si>
  <si>
    <t>Коврик  HURREM 50х80 ПП розовый</t>
  </si>
  <si>
    <t>Коврик  HURREM 50х80 ПП вишневый</t>
  </si>
  <si>
    <t>Коврик  HURREM 50х80 ПП лиловый</t>
  </si>
  <si>
    <t>Коврик  HURREM 50х80 ПП оранжевый</t>
  </si>
  <si>
    <t>Коврик д/в Узоры 50х80 голубой М/Ф</t>
  </si>
  <si>
    <t>Коврик д/в Узоры 50х80 розовый М/Ф</t>
  </si>
  <si>
    <t>Коврик д/в Узоры 50х80 зеленый М/Ф</t>
  </si>
  <si>
    <t>Коврик д/в Узоры 50х80 бежевый М/Ф</t>
  </si>
  <si>
    <t>Коврик д/в Узоры 50х80 коричневый М/Ф</t>
  </si>
  <si>
    <t>Коврик д/в Узоры 50х80 бордо М/Ф</t>
  </si>
  <si>
    <t>Коврик д/в Cruise 50х80 полиуретан</t>
  </si>
  <si>
    <t>642,00</t>
  </si>
  <si>
    <t>Коврик д/в Zelidzh 50х80 хлопок</t>
  </si>
  <si>
    <t>1448,00</t>
  </si>
  <si>
    <t>Коврик д/в Градиент 40х60 беж</t>
  </si>
  <si>
    <t>530,00</t>
  </si>
  <si>
    <t>Коврик д/в Градиент 40х60 корич</t>
  </si>
  <si>
    <t>Коврик д/в Градиент 40х60 гол</t>
  </si>
  <si>
    <t>Коврик д/в Градиент 40х60 зел</t>
  </si>
  <si>
    <t>Коврик д/в Градиент 40х60 роз</t>
  </si>
  <si>
    <t>Коврик д/в Градиент 40х60 фиолет</t>
  </si>
  <si>
    <t>Коврик д/в Квадро салат 40х60,полипропилен</t>
  </si>
  <si>
    <t>255,00</t>
  </si>
  <si>
    <t>Коврик д/в Квадро син 40х60,полипропилен</t>
  </si>
  <si>
    <t>Коврик д/в Квадро беж 40х60,полипропилен</t>
  </si>
  <si>
    <t>Коврик д/в Квадро фиолет 40х60,полипропилен</t>
  </si>
  <si>
    <t>Коврик д/в Квадро зел 40х60,полипропилен</t>
  </si>
  <si>
    <t>Коврик д/в Merci 45х70 зел,полиэстер</t>
  </si>
  <si>
    <t>Коврик д/в Merci 45х70 син,полиэстер</t>
  </si>
  <si>
    <t>Коврик д/в Luxury 45х75 беж</t>
  </si>
  <si>
    <t>Коврик д/в Luxury 45х75 корич</t>
  </si>
  <si>
    <t>Коврик д/в Luxury 45х75 зел</t>
  </si>
  <si>
    <t>Коврик д/в Luxury 45х75 син</t>
  </si>
  <si>
    <t>Коврик д/в COCOON 50Х80 П/Э сер</t>
  </si>
  <si>
    <t>Коврик д/в COCOON 50Х80 П/Э беж</t>
  </si>
  <si>
    <t>Коврик д/в Камни 45х75 роз</t>
  </si>
  <si>
    <t>400,00</t>
  </si>
  <si>
    <t>Коврик д/в Камни 45х75 зел</t>
  </si>
  <si>
    <t>Коврик д/в Soft 50х80 слива,полиэстер</t>
  </si>
  <si>
    <t>647,00</t>
  </si>
  <si>
    <t>Коврик д/в Soft 50х80,полиэстер</t>
  </si>
  <si>
    <t>344,00</t>
  </si>
  <si>
    <t>Коврик д/в Волна 50х80 син</t>
  </si>
  <si>
    <t>Коврик д/в Волна 50х80 зел</t>
  </si>
  <si>
    <t>Коврик д/в Дельфин 50х80</t>
  </si>
  <si>
    <t>Коврик д/в CRAZY 50x70 бел</t>
  </si>
  <si>
    <t>Коврик д/в CRAZY 50x70 фиолет</t>
  </si>
  <si>
    <t>Коврик д/в CRAZY 50x70 оранж</t>
  </si>
  <si>
    <t>Коврик д/в CRAZY 50x70 зел</t>
  </si>
  <si>
    <t>Коврик д/в CRAZY 50x70 красн</t>
  </si>
  <si>
    <t>Коврик д/в CRAZY 50x70 роз</t>
  </si>
  <si>
    <t>Коврик д/в  Flora 50х80 голуб</t>
  </si>
  <si>
    <t>Коврик д/в  Flora 50х80 син</t>
  </si>
  <si>
    <t>Коврик д/в  Flora 50х80 зел</t>
  </si>
  <si>
    <t>Коврик д/в  Flora 50х80 беж</t>
  </si>
  <si>
    <t>007-745-130-020</t>
  </si>
  <si>
    <t>Коврик 4,5см 60х90 микрофибра синий</t>
  </si>
  <si>
    <t>Коврик 4,5см 60х90 микрофибра шампань</t>
  </si>
  <si>
    <t>Коврик 4,5см 60х90 микрофибра розовый</t>
  </si>
  <si>
    <t>Коврик д/в TWIST 60Х90 микрофибра пурпур</t>
  </si>
  <si>
    <t>1383,00</t>
  </si>
  <si>
    <t>Коврик д/в TWIST 60Х90 микрофибра син</t>
  </si>
  <si>
    <t>Коврик д/в TWIST 60Х90 микрофибра беж</t>
  </si>
  <si>
    <t>Коврик д/в TWIST 60Х90 микрофибра бел</t>
  </si>
  <si>
    <t>Коврик д/в Unbeaujour 60х90 хлопок</t>
  </si>
  <si>
    <t>2085,00</t>
  </si>
  <si>
    <t>Коврик д/в Silenzio green 60х90 М/Ф</t>
  </si>
  <si>
    <t>2337,00</t>
  </si>
  <si>
    <t>Коврик д/в Meknes 60х90 хлопок</t>
  </si>
  <si>
    <t>1630,00</t>
  </si>
  <si>
    <t>Коврик д/в Quadratto 60х90 хлопок</t>
  </si>
  <si>
    <t>1497,00</t>
  </si>
  <si>
    <t>Коврик д/в Cingolo 60х90 бежевый П/Э</t>
  </si>
  <si>
    <t>1647,00</t>
  </si>
  <si>
    <t>Коврик д/в Coleta 60х90 хлопок</t>
  </si>
  <si>
    <t>2421,00</t>
  </si>
  <si>
    <t>Коврик д/в Микрофибра 4,5см 60х90 зел</t>
  </si>
  <si>
    <t>Коврик д/в Новая Волна 60х90 П/А</t>
  </si>
  <si>
    <t>1093,00</t>
  </si>
  <si>
    <t>Коврик д/в Сафари 60х90 П/А корич</t>
  </si>
  <si>
    <t>007-745-130-030</t>
  </si>
  <si>
    <t>Коврик д/в Shaggy 70х100 зеленый П/А</t>
  </si>
  <si>
    <t>2153,00</t>
  </si>
  <si>
    <t>Коврик д/в  Shaggy 70х100 синий П/А</t>
  </si>
  <si>
    <t>Коврик в/к Shaggy 70х100 голубой П/А</t>
  </si>
  <si>
    <t>Коврик д/в Shaggy 70х100 бордо П/А</t>
  </si>
  <si>
    <t>Коврик д/в Shaggy 70х100 беж П/А</t>
  </si>
  <si>
    <t>Коврик д/в Shaggy 70х100с оранж П/А</t>
  </si>
  <si>
    <t>007-745-130-040</t>
  </si>
  <si>
    <t>Коврики для ванной ПВХ фото</t>
  </si>
  <si>
    <t>Коврик для ванны ПВХ 50х80</t>
  </si>
  <si>
    <t>3776,00</t>
  </si>
  <si>
    <t>007-745-140-010</t>
  </si>
  <si>
    <t>Коврик д/туал SAND 50х55 бежевый</t>
  </si>
  <si>
    <t>594,00</t>
  </si>
  <si>
    <t>Коврик д/туал BLACK WHITE 50х55 белый</t>
  </si>
  <si>
    <t>Коврик д/туал MONSTERA 50х55 бежевый</t>
  </si>
  <si>
    <t>Коврик д/т TWIST 55Х55  микрофибра пурпур</t>
  </si>
  <si>
    <t>Коврик д/т TWIST 55Х55 микрофибра син</t>
  </si>
  <si>
    <t>Коврик д/т TWIST 55Х55  микрофибра беж</t>
  </si>
  <si>
    <t>Коврик д/т TWIST 55Х55 микрофибра бел</t>
  </si>
  <si>
    <t>Коврик д/т LOUNGE 50Х40 м/фибра беж №3</t>
  </si>
  <si>
    <t>Коврик д/т LOUNGE 50Х40 м/фибра фиол №6</t>
  </si>
  <si>
    <t>Коврик д/т LOUNGE 50Х40 м/фибра син №6</t>
  </si>
  <si>
    <t>Коврик д/т LOUNGE 50Х40 м/фибра зел №3</t>
  </si>
  <si>
    <t>Коврик д/т LOUNGE 50Х40 м/фибра корич</t>
  </si>
  <si>
    <t>Коврик д/т LOUNGE 50Х40 м/фибра роз №3</t>
  </si>
  <si>
    <t>Коврик д/т LOUNGE 50Х40 м/фибра син №1</t>
  </si>
  <si>
    <t>Коврик  HURREM 50х60 ПП зеленый</t>
  </si>
  <si>
    <t>Коврик  HURREM 50х60 ПП коричневый</t>
  </si>
  <si>
    <t>Коврик  HURREM 50х60 ПП бежевый</t>
  </si>
  <si>
    <t>Коврик  HURREM 50х60 ПП розовый</t>
  </si>
  <si>
    <t>Коврик  HURREM 50х60 ПП вишневый</t>
  </si>
  <si>
    <t>Коврик  HURREM 50х60 ПП лиловый</t>
  </si>
  <si>
    <t>Коврик  HURREM 50х60 ПП оранжевый</t>
  </si>
  <si>
    <t>Коврик д/т Узоры 40х50 синий М/Ф</t>
  </si>
  <si>
    <t>Коврик д/т Узоры 40х50 розовый М/Ф</t>
  </si>
  <si>
    <t>Коврик д/т Узоры 40х50 зеленый М/Ф</t>
  </si>
  <si>
    <t>Коврик д/т Узоры 40х50 бежевый М/Ф</t>
  </si>
  <si>
    <t>Коврик д/т Узоры 40х50 коричневый М/Ф</t>
  </si>
  <si>
    <t>Коврик д/т Узоры 40х50 бордо М/Ф</t>
  </si>
  <si>
    <t>Коврик д/т Cingolo 50х50 синий П/Э</t>
  </si>
  <si>
    <t>Коврик д/т Cingolo 50х50 розовый</t>
  </si>
  <si>
    <t>Коврик д/т Cingolo 50х50 серый П/Э</t>
  </si>
  <si>
    <t>Коврик д/т Cingolo 50х50 зеленый П/Э</t>
  </si>
  <si>
    <t>Коврик д/т Cingolo 50х50 молочный П/Э</t>
  </si>
  <si>
    <t>Коврик д/т Cingolo 50х50 бежевый П/Э</t>
  </si>
  <si>
    <t>Коврик д/т Квадро син 40х40,полипропилен</t>
  </si>
  <si>
    <t>Коврик д/т Merci 45х45 зел,полиэстер</t>
  </si>
  <si>
    <t>Коврик д/т Merci 45х45 фиолет,полиэстер</t>
  </si>
  <si>
    <t>Коврик д/т Узоры 50х50 син</t>
  </si>
  <si>
    <t>Коврик д/т Узоры 50х50 бел</t>
  </si>
  <si>
    <t>Коврик д/т Узоры 50х50 зел</t>
  </si>
  <si>
    <t>Коврик д/т Дельфин 50х50</t>
  </si>
  <si>
    <t>Коврик д/т CRAZY 50x40 красн</t>
  </si>
  <si>
    <t>Коврик д/т CRAZY 50x40 голуб</t>
  </si>
  <si>
    <t>Коврик д/т CRAZY 50x40 роз</t>
  </si>
  <si>
    <t>Коврик д/т CRAZY 50x40 бел</t>
  </si>
  <si>
    <t>Коврик д/т CRAZY 50x40 беж</t>
  </si>
  <si>
    <t>Коврик д/т CRAZY 50x40 зел</t>
  </si>
  <si>
    <t>Коврик д/т CRAZY 50x40 фиолет</t>
  </si>
  <si>
    <t>007-745-140-020</t>
  </si>
  <si>
    <t>Коврик д/в Numkesh beige Д60 М/Ф</t>
  </si>
  <si>
    <t>1387,00</t>
  </si>
  <si>
    <t>007-745-150-010</t>
  </si>
  <si>
    <t>Набор в/к 48х75, 40х45 серый</t>
  </si>
  <si>
    <t>Набор в/к 48х75, 40х45 беж</t>
  </si>
  <si>
    <t>Набор в/к 48х75, 40х45 красный</t>
  </si>
  <si>
    <t>195,00</t>
  </si>
  <si>
    <t>Набор в/к 48х75, 40х45 зеленый</t>
  </si>
  <si>
    <t>Набор ковров SERA голуб</t>
  </si>
  <si>
    <t>314,00</t>
  </si>
  <si>
    <t>Набор ковров SERA зел</t>
  </si>
  <si>
    <t>Набор ковров SERA беж</t>
  </si>
  <si>
    <t>401,00</t>
  </si>
  <si>
    <t>Набор ковров в ассорт 45х75,45х42</t>
  </si>
  <si>
    <t>299,00</t>
  </si>
  <si>
    <t>007-750-010-010</t>
  </si>
  <si>
    <t>Зеркало Венеция СВ 53х70 с полкой</t>
  </si>
  <si>
    <t>1002865007 - ООО "Континент"</t>
  </si>
  <si>
    <t>1302,00</t>
  </si>
  <si>
    <t>Зеркало Лучано СВ 50х70 с полкой</t>
  </si>
  <si>
    <t>723,00</t>
  </si>
  <si>
    <t>007-750-010-020</t>
  </si>
  <si>
    <t>Зеркало 90х60 см с подсветкой</t>
  </si>
  <si>
    <t>1003259007 - ООО "Торговый дом "Омега Гласс""</t>
  </si>
  <si>
    <t>3928,00</t>
  </si>
  <si>
    <t>Зеркало 90х60 см с подсвет,с линзой</t>
  </si>
  <si>
    <t>6148,00</t>
  </si>
  <si>
    <t>Зеркало Марсель СВ 55х73 с полкой</t>
  </si>
  <si>
    <t>1157,00</t>
  </si>
  <si>
    <t>007-750-010-030</t>
  </si>
  <si>
    <t>Зеркало Бордо Люкс 56х76 с подсветкой</t>
  </si>
  <si>
    <t>3692,00</t>
  </si>
  <si>
    <t>007-750-020-010</t>
  </si>
  <si>
    <t>Зеркало NNK201 40x50см</t>
  </si>
  <si>
    <t>Зеркало NNF205 50x70см с фацетом</t>
  </si>
  <si>
    <t>766,00</t>
  </si>
  <si>
    <t>Зеркало NNF107 50x70см</t>
  </si>
  <si>
    <t>Зеркало  NNKP211М 50х60 см с полоч.</t>
  </si>
  <si>
    <t>Зеркало NNКP201М 40x50 с фацетом, полоч</t>
  </si>
  <si>
    <t>Зеркало 50х50 см с фацетом</t>
  </si>
  <si>
    <t>Зеркало Лайм 39х58см с полкой</t>
  </si>
  <si>
    <t>810,00</t>
  </si>
  <si>
    <t>Зеркало Арго 40х60 см с полкой</t>
  </si>
  <si>
    <t>007-750-020-020</t>
  </si>
  <si>
    <t>Зеркало NNK010 60x70см</t>
  </si>
  <si>
    <t>Зеркало прямоугольное О53 40X60 с фацет.</t>
  </si>
  <si>
    <t>716,00</t>
  </si>
  <si>
    <t>Зеркало прямоугольное О58 50X80 с фацет.</t>
  </si>
  <si>
    <t>1068,00</t>
  </si>
  <si>
    <t>Зеркало прямоугольное О62 60X90 с фацет.</t>
  </si>
  <si>
    <t>1326,00</t>
  </si>
  <si>
    <t>Зеркало прямоугольное О61 60X60 с фацет.</t>
  </si>
  <si>
    <t>Зеркало NNF008 50x70см с фацетом</t>
  </si>
  <si>
    <t>Зеркало NNF007 40x70см</t>
  </si>
  <si>
    <t>Зеркало прямоугольное О63 60x120с фацет.</t>
  </si>
  <si>
    <t>Зеркало NNF024 50х90см с фацетом</t>
  </si>
  <si>
    <t>1048,00</t>
  </si>
  <si>
    <t>Зеркало  NNFP006М 50х60 с фац.с пол.</t>
  </si>
  <si>
    <t>Зеркало NNKP003М 40x50см с полочкой</t>
  </si>
  <si>
    <t xml:space="preserve"> Зеркало NNF 006 50x60 см.</t>
  </si>
  <si>
    <t>531,00</t>
  </si>
  <si>
    <t xml:space="preserve"> Зерк. плитка NNLM 20 20 20 квадрат 4 шт</t>
  </si>
  <si>
    <t>288,00</t>
  </si>
  <si>
    <t>Зерк. плитка NNLM 21 30*30 квадрат</t>
  </si>
  <si>
    <t>452,00</t>
  </si>
  <si>
    <t xml:space="preserve"> Зерк. плитка NNLM 19 10*10 квадр.16шт.</t>
  </si>
  <si>
    <t xml:space="preserve"> Набор крепления для зеркала 2</t>
  </si>
  <si>
    <t xml:space="preserve"> Набор крепления для зеркала 3</t>
  </si>
  <si>
    <t>Зерк.плитка NNLM 24 10*10 кв.с фацетом</t>
  </si>
  <si>
    <t>Зерк.плитка NNLM 25 15*15 кв.с фацетом</t>
  </si>
  <si>
    <t>216,00</t>
  </si>
  <si>
    <t>Зерк.плитка NNLM 28 20*20 кв.с фацетом</t>
  </si>
  <si>
    <t>Зерк.плитка NNLM 29 20*30 кв.с фацетом</t>
  </si>
  <si>
    <t>Зерк.плитка NNLM 31 30*30 кв.с фацетом</t>
  </si>
  <si>
    <t xml:space="preserve"> Зеркало прямоугольное с полкой 40х60</t>
  </si>
  <si>
    <t>894,00</t>
  </si>
  <si>
    <t>Зеркальное полотно Волна 30х120см</t>
  </si>
  <si>
    <t>Зеркальное полотно 35х120 см</t>
  </si>
  <si>
    <t>631,00</t>
  </si>
  <si>
    <t>Зеркальное полотно 35х150 см</t>
  </si>
  <si>
    <t>Зеркальное полотно 35х50 см</t>
  </si>
  <si>
    <t>Зеркальное полотно 55х120 см</t>
  </si>
  <si>
    <t>957,00</t>
  </si>
  <si>
    <t>Зеркальное полотно 55х150 см</t>
  </si>
  <si>
    <t>Зеркальное полотно 55х60 см</t>
  </si>
  <si>
    <t>Зеркальное полотно 55х90 см</t>
  </si>
  <si>
    <t>Зеркало 60х90 см с фацетом</t>
  </si>
  <si>
    <t>1502,00</t>
  </si>
  <si>
    <t>Зеркало 60х90 см багет черный</t>
  </si>
  <si>
    <t>1964,00</t>
  </si>
  <si>
    <t>ЛЦ Зеркало 30х40 с кромкой</t>
  </si>
  <si>
    <t>205,00</t>
  </si>
  <si>
    <t>Зеркало Чили 75х60 см с полкой</t>
  </si>
  <si>
    <t>1158,00</t>
  </si>
  <si>
    <t>007-750-020-030</t>
  </si>
  <si>
    <t>Зеркало D 50 см</t>
  </si>
  <si>
    <t>Зеркало Эллада Люкс 58х76 см</t>
  </si>
  <si>
    <t>1636,00</t>
  </si>
  <si>
    <t>007-750-020-040</t>
  </si>
  <si>
    <t>Зерк.плитка NNLM 26 15*15треуг.с фацетом</t>
  </si>
  <si>
    <t>Зерк.плитка NNLM 27 20*20треуг.с фацетом</t>
  </si>
  <si>
    <t>Зерк.плитка NNLM 30 30*30треуг.с фацетом</t>
  </si>
  <si>
    <t>Зеркало Лотос 48х55 см</t>
  </si>
  <si>
    <t>Зеркало Кензо СВ 58х84 см</t>
  </si>
  <si>
    <t>1664,00</t>
  </si>
  <si>
    <t>007-750-030-010</t>
  </si>
  <si>
    <t>Зеркало настольное увеличит. хром D17</t>
  </si>
  <si>
    <t>574,00</t>
  </si>
  <si>
    <t>Зеркало настольное увелич. АВС/хром D17</t>
  </si>
  <si>
    <t>Зеркало настенное увеличит. хром D17</t>
  </si>
  <si>
    <t>717,00</t>
  </si>
  <si>
    <t>Зеркало настольное увеличит. хром D15</t>
  </si>
  <si>
    <t>Увеличительно зеркало D 12,5 см</t>
  </si>
  <si>
    <t>007-750-040-010</t>
  </si>
  <si>
    <t>Полкодержатель в стену  NNP 1</t>
  </si>
  <si>
    <t>137,00</t>
  </si>
  <si>
    <t>Полкодержатель на зеркало NNP 2</t>
  </si>
  <si>
    <t>Герметик силиконовый</t>
  </si>
  <si>
    <t>256,00</t>
  </si>
  <si>
    <t>Скотч двухсторонний 19 мм х 5 м</t>
  </si>
  <si>
    <t>Набор крепления зеркала зажим</t>
  </si>
  <si>
    <t>Набор крепления зеркала D 0,7 мм шуруп</t>
  </si>
  <si>
    <t>Набор крепления зеркала D 10 мм шуруп</t>
  </si>
  <si>
    <t>007-750-040-020</t>
  </si>
  <si>
    <t>Полка из стекла NNSP 1 40X12</t>
  </si>
  <si>
    <t>Полка из стекла NNSP 2 50X12</t>
  </si>
  <si>
    <t>Полка из стекла NNSP 3 60X12</t>
  </si>
  <si>
    <t>Приставка к навесному шкафу 15х60</t>
  </si>
  <si>
    <t>853,00</t>
  </si>
  <si>
    <t>Приставка к навесному шкафу 29х60</t>
  </si>
  <si>
    <t>1107,00</t>
  </si>
  <si>
    <t>007-750-040-030</t>
  </si>
  <si>
    <t>Светильник д/зер Марсель"Свеча двойная"</t>
  </si>
  <si>
    <t>Светильник д/зер Кензо "Спираль двойная"</t>
  </si>
  <si>
    <t>Светильник д/з Лучано,Венеция"Спираль один" 1шт</t>
  </si>
  <si>
    <t>007-750-050-020</t>
  </si>
  <si>
    <t>Зеркальный шкаф NNZB 1 60*30</t>
  </si>
  <si>
    <t>1651,00</t>
  </si>
  <si>
    <t>Зеркальный шкаф NNZB 2 60*40</t>
  </si>
  <si>
    <t>2082,00</t>
  </si>
  <si>
    <t>Зеркальный шкаф NNZB 3 60*40</t>
  </si>
  <si>
    <t>007-755-010-010</t>
  </si>
  <si>
    <t>ЛЦ Тумба клас Т 50 бел</t>
  </si>
  <si>
    <t>1002293007 - ООО "Аквалайн"</t>
  </si>
  <si>
    <t>1080,00</t>
  </si>
  <si>
    <t>Тумба клас Астра ВИТРАЖ 65 бел</t>
  </si>
  <si>
    <t>1002498007 - ООО"АСБ-Мебель"</t>
  </si>
  <si>
    <t>4978,00</t>
  </si>
  <si>
    <t>Тумба клас Глория 55</t>
  </si>
  <si>
    <t>5823,00</t>
  </si>
  <si>
    <t>Тумба клас Глория с корз 75</t>
  </si>
  <si>
    <t>7838,00</t>
  </si>
  <si>
    <t>Тумба клас Глория с корз 90</t>
  </si>
  <si>
    <t>10263,00</t>
  </si>
  <si>
    <t>Тумба клас. Эмили 75</t>
  </si>
  <si>
    <t>1002284007 - ООО "МебесонТрейд"</t>
  </si>
  <si>
    <t>Тумба клас. РОМА 45</t>
  </si>
  <si>
    <t>2300,00</t>
  </si>
  <si>
    <t>Тумба клас. РОМА 50</t>
  </si>
  <si>
    <t>Тумба клас. РОМА 65</t>
  </si>
  <si>
    <t>3896,00</t>
  </si>
  <si>
    <t>Тумба клас. Волна 70</t>
  </si>
  <si>
    <t>3285,00</t>
  </si>
  <si>
    <t>Тумба клас. ЛУНА 60</t>
  </si>
  <si>
    <t>2808,00</t>
  </si>
  <si>
    <t>Тумба клас. Палермо 75</t>
  </si>
  <si>
    <t>1002893007 - ООО "Модуль Сервис"</t>
  </si>
  <si>
    <t>8826,00</t>
  </si>
  <si>
    <t>Тумба клас.Палермо 105</t>
  </si>
  <si>
    <t>12331,00</t>
  </si>
  <si>
    <t>Тумба клас. Кос 50</t>
  </si>
  <si>
    <t>1002139007 - ООО "ЮНАП-Мебель"</t>
  </si>
  <si>
    <t>2515,00</t>
  </si>
  <si>
    <t>Тумба клас Форте 60</t>
  </si>
  <si>
    <t>1002771007 - ООО "ФОРТУНА +"</t>
  </si>
  <si>
    <t>4235,00</t>
  </si>
  <si>
    <t>Тумба клас Форте 70</t>
  </si>
  <si>
    <t>4730,00</t>
  </si>
  <si>
    <t>Тумба Акваль Эмили 60 белая</t>
  </si>
  <si>
    <t>3861,00</t>
  </si>
  <si>
    <t>007-755-010-020</t>
  </si>
  <si>
    <t>Рак д/тумбы Астра  65</t>
  </si>
  <si>
    <t>2057,00</t>
  </si>
  <si>
    <t>Раковина Ideal д/тумбы Идеал 55, Грея 55</t>
  </si>
  <si>
    <t>-12,00</t>
  </si>
  <si>
    <t>1443,00</t>
  </si>
  <si>
    <t>Раковина Миа д/тумбы Венеция 75</t>
  </si>
  <si>
    <t>3555,00</t>
  </si>
  <si>
    <t>Раковина Норд 75 д/тумбы Эмили 75</t>
  </si>
  <si>
    <t>Раковина Эрика 60 д/тумбы Форте 60, Парма 60</t>
  </si>
  <si>
    <t>Раковина Нати 50 д/тумбы Кос 50</t>
  </si>
  <si>
    <t>1897,00</t>
  </si>
  <si>
    <t>Раковина Нати 60, д/тумбы Волна 60, Луна 60</t>
  </si>
  <si>
    <t>2097,00</t>
  </si>
  <si>
    <t>Раковина Нати 70, д/тумбы Волна 70, Кос 70</t>
  </si>
  <si>
    <t>2160,00</t>
  </si>
  <si>
    <t>Раковина Лагуна 65 д/тумбы Рома 65, Кос 65</t>
  </si>
  <si>
    <t>1698,00</t>
  </si>
  <si>
    <t>Раковина Азов 45 д/тумбы Нил 45, Рома 45</t>
  </si>
  <si>
    <t>Рак. ROSA Элеганс 60 д/тумбы Эмили 60</t>
  </si>
  <si>
    <t>1991,00</t>
  </si>
  <si>
    <t>007-755-010-025</t>
  </si>
  <si>
    <t>ЛЦ зеркало 50</t>
  </si>
  <si>
    <t>1496,00</t>
  </si>
  <si>
    <t>007-755-010-030</t>
  </si>
  <si>
    <t>Зеркальный шкаф клас Астра ВИТРАЖ 65 бел</t>
  </si>
  <si>
    <t>5297,00</t>
  </si>
  <si>
    <t>Зеркальный шкаф клас Глория 55</t>
  </si>
  <si>
    <t>6854,00</t>
  </si>
  <si>
    <t>Зеркальный шкаф клас Глория 75</t>
  </si>
  <si>
    <t>7791,00</t>
  </si>
  <si>
    <t>Зеркальный шкаф клас Глория 90</t>
  </si>
  <si>
    <t>9197,00</t>
  </si>
  <si>
    <t>Зеркальный шкаф клас. Эмили 75</t>
  </si>
  <si>
    <t>3817,00</t>
  </si>
  <si>
    <t>Зеркал. шкаф клас.Палермо 65</t>
  </si>
  <si>
    <t>6520,00</t>
  </si>
  <si>
    <t>Зеркал. шкаф клас. Палермо 75</t>
  </si>
  <si>
    <t>6922,00</t>
  </si>
  <si>
    <t>Зеркал. шкаф клас. Палермо 105</t>
  </si>
  <si>
    <t>9318,00</t>
  </si>
  <si>
    <t>Зеркальный шкаф клас. Кос 50</t>
  </si>
  <si>
    <t>Зеркальный шкаф клас Кос 67</t>
  </si>
  <si>
    <t>3298,00</t>
  </si>
  <si>
    <t>Зеркальный шкаф клас Кос 50</t>
  </si>
  <si>
    <t>Зеркальный шкаф клас Форте 70</t>
  </si>
  <si>
    <t>5682,00</t>
  </si>
  <si>
    <t>Зеркальный шкаф клас Форте  90</t>
  </si>
  <si>
    <t>7095,00</t>
  </si>
  <si>
    <t>007-755-010-040</t>
  </si>
  <si>
    <t>Пенал клас Глория Л 40</t>
  </si>
  <si>
    <t>10978,00</t>
  </si>
  <si>
    <t>Пенал клас Глория П</t>
  </si>
  <si>
    <t>Пенал Универсальный 30</t>
  </si>
  <si>
    <t>4835,00</t>
  </si>
  <si>
    <t>Пенал  клас. Палермо</t>
  </si>
  <si>
    <t>11550,00</t>
  </si>
  <si>
    <t>007-755-020-010</t>
  </si>
  <si>
    <t>Тумба Retro 60 орех</t>
  </si>
  <si>
    <t>007-755-020-020</t>
  </si>
  <si>
    <t>Раковина д/тумбы Retro,Лотос,Merci 60</t>
  </si>
  <si>
    <t>1735,00</t>
  </si>
  <si>
    <t>007-755-030-010</t>
  </si>
  <si>
    <t>Тумба совр Аврора 60</t>
  </si>
  <si>
    <t>7487,00</t>
  </si>
  <si>
    <t>Тумба совр Аврора 70</t>
  </si>
  <si>
    <t>7893,00</t>
  </si>
  <si>
    <t>Тумба Торонто 60 Светл. дер.</t>
  </si>
  <si>
    <t>6506,00</t>
  </si>
  <si>
    <t>Тумба Торонто 75 Светл. дер.</t>
  </si>
  <si>
    <t>6930,00</t>
  </si>
  <si>
    <t>Тумба Торонто 60 серый</t>
  </si>
  <si>
    <t>Тумба Торонто 75 серый</t>
  </si>
  <si>
    <t>Тумба совр. Румба  60 подв.</t>
  </si>
  <si>
    <t>5678,00</t>
  </si>
  <si>
    <t>Тумба совр. Румба  82 подв.</t>
  </si>
  <si>
    <t>6102,00</t>
  </si>
  <si>
    <t>Тумба совр. Венто 50</t>
  </si>
  <si>
    <t>1003346007 - ООО "Аквамарин"</t>
  </si>
  <si>
    <t>3146,00</t>
  </si>
  <si>
    <t>Тумба совр. Венто 70</t>
  </si>
  <si>
    <t>4683,00</t>
  </si>
  <si>
    <t>Тумба совр. Венто 60</t>
  </si>
  <si>
    <t>4071,00</t>
  </si>
  <si>
    <t>Тумба совр. Мальта 55</t>
  </si>
  <si>
    <t>3785,00</t>
  </si>
  <si>
    <t>Тумба совр. Мальта 65</t>
  </si>
  <si>
    <t>4557,00</t>
  </si>
  <si>
    <t>Тумба совр. Eggo 60</t>
  </si>
  <si>
    <t>3438,00</t>
  </si>
  <si>
    <t>Тумба совр. Паола 40</t>
  </si>
  <si>
    <t>2211,00</t>
  </si>
  <si>
    <t>Тумба совр. Паола 40 Бордо</t>
  </si>
  <si>
    <t>Тумба совр. Паола 60 подв.</t>
  </si>
  <si>
    <t>3502,00</t>
  </si>
  <si>
    <t>Тумба совр. Паола 80 подв.</t>
  </si>
  <si>
    <t>Тумба совр. Римини 80 подв.</t>
  </si>
  <si>
    <t>1002283007 - ООО "Сантехком Регион"</t>
  </si>
  <si>
    <t>9900,00</t>
  </si>
  <si>
    <t>Тумба совр. Парма 60</t>
  </si>
  <si>
    <t>Тумба совр. Леванте 50</t>
  </si>
  <si>
    <t>2860,00</t>
  </si>
  <si>
    <t>Тумба совр.Лайн 60</t>
  </si>
  <si>
    <t>1002257007 - ООО "АКВАТОН РУС"</t>
  </si>
  <si>
    <t>4254,00</t>
  </si>
  <si>
    <t>Тумба совр. Лайн 90</t>
  </si>
  <si>
    <t>8906,00</t>
  </si>
  <si>
    <t>Тумба совр. Поль 50 подв.</t>
  </si>
  <si>
    <t>5540,00</t>
  </si>
  <si>
    <t>Тумба совр. Поль 50 венге подв.</t>
  </si>
  <si>
    <t>Тумба совр. Диона 55 подв.</t>
  </si>
  <si>
    <t>5023,00</t>
  </si>
  <si>
    <t>Тумба совр. Мерида 65 подв.</t>
  </si>
  <si>
    <t>7560,00</t>
  </si>
  <si>
    <t>Тумба совр. Мерида 65 какао подв.</t>
  </si>
  <si>
    <t>7142,00</t>
  </si>
  <si>
    <t>Тумба совр. Мерида 80 подв. какао</t>
  </si>
  <si>
    <t>8600,00</t>
  </si>
  <si>
    <t>Тумба совр. Адель 80 подв.</t>
  </si>
  <si>
    <t>7627,00</t>
  </si>
  <si>
    <t>Тумба совр. Адель 80 подв. черная</t>
  </si>
  <si>
    <t>8100,00</t>
  </si>
  <si>
    <t>Тумба совр. НИЛ 45 венге</t>
  </si>
  <si>
    <t>2308,00</t>
  </si>
  <si>
    <t>Тумба Мерлин new 60 бел</t>
  </si>
  <si>
    <t>7433,00</t>
  </si>
  <si>
    <t>Тумба Мерлин new 60 чер</t>
  </si>
  <si>
    <t>Тумба Мерлин new 80 бел</t>
  </si>
  <si>
    <t>8833,00</t>
  </si>
  <si>
    <t>Тумба Мерлин new 80 чер</t>
  </si>
  <si>
    <t>Тумба Акваль Паола NEW 40</t>
  </si>
  <si>
    <t>Тумба Майами 60</t>
  </si>
  <si>
    <t>1000762007 - ООО"Аквавита"</t>
  </si>
  <si>
    <t>4927,00</t>
  </si>
  <si>
    <t>Тумба Женева 50</t>
  </si>
  <si>
    <t>6817,00</t>
  </si>
  <si>
    <t>Тумба Женева 60</t>
  </si>
  <si>
    <t>7323,00</t>
  </si>
  <si>
    <t>007-755-030-020</t>
  </si>
  <si>
    <t>Рак д/тумбы Мерлин 60</t>
  </si>
  <si>
    <t>3140,00</t>
  </si>
  <si>
    <t>Рак д/тумбы Мерлин 80</t>
  </si>
  <si>
    <t>4523,00</t>
  </si>
  <si>
    <t>Раковина Сакура д/тумбы Аврора 60</t>
  </si>
  <si>
    <t>4458,00</t>
  </si>
  <si>
    <t>Раковина Сакура д/тумбы Аврора 70</t>
  </si>
  <si>
    <t>5208,00</t>
  </si>
  <si>
    <t>Раковина Альфа 55 д/тумбы Глория 55, Лидия 55</t>
  </si>
  <si>
    <t>1002894007 - ООО "ДРЕЯ"</t>
  </si>
  <si>
    <t>Раковина Альфа 90 д/тумбы Глория 90</t>
  </si>
  <si>
    <t>4862,00</t>
  </si>
  <si>
    <t>Раковина Дрея Q55 д/тумбы Диона 55</t>
  </si>
  <si>
    <t>2915,00</t>
  </si>
  <si>
    <t>Раковина Мини 50 д/тумбы Поль 50</t>
  </si>
  <si>
    <t>Раковина Лагуна 65 д/тумбы Венеция 65, Палермо 65</t>
  </si>
  <si>
    <t>Раковина Лагуна 75 д/тумбы Венеция 75, Палермо 75</t>
  </si>
  <si>
    <t>3685,00</t>
  </si>
  <si>
    <t>Рак Ладога 50 д/тумбы Венто 50</t>
  </si>
  <si>
    <t>1710,00</t>
  </si>
  <si>
    <t>Рак Балтика 70 д/тумбы Венто 70</t>
  </si>
  <si>
    <t>2365,00</t>
  </si>
  <si>
    <t>Рак Антик 55 д/тумбы Мальта 55</t>
  </si>
  <si>
    <t>Рак Калипсо 600 д/тумбы Eggo 60</t>
  </si>
  <si>
    <t>Раковина  Прима 100 д/тумбы Римини 100</t>
  </si>
  <si>
    <t>6050,00</t>
  </si>
  <si>
    <t>Раковина Акватон 50 д/тумбы Леванте 50</t>
  </si>
  <si>
    <t>1200,00</t>
  </si>
  <si>
    <t>Раковина Элеганс 65 д/тумбы Магнолия 65</t>
  </si>
  <si>
    <t>2145,00</t>
  </si>
  <si>
    <t>Раковина Премьер М 65 д/тумбы Мерида 65</t>
  </si>
  <si>
    <t>5896,00</t>
  </si>
  <si>
    <t>Раковина Премьер 80 д/тумбы мерида 80</t>
  </si>
  <si>
    <t>6658,00</t>
  </si>
  <si>
    <t>Раковина Smile 80 д/тумбы Адель 80</t>
  </si>
  <si>
    <t>4357,00</t>
  </si>
  <si>
    <t>Раковина Квадро 60 д/тумбы Торонто 60</t>
  </si>
  <si>
    <t>Раковина Ринго 50 д/тумбы Паола 50</t>
  </si>
  <si>
    <t>1865,00</t>
  </si>
  <si>
    <t>Раковина Некст 70 д/тумбы Лайн</t>
  </si>
  <si>
    <t>2798,00</t>
  </si>
  <si>
    <t>Раковина Некст 90 д/тумбы Лайн</t>
  </si>
  <si>
    <t>3964,00</t>
  </si>
  <si>
    <t>Раковина Некст 60 д/тумбы Лайн</t>
  </si>
  <si>
    <t>Раковина COMO 40 д/тумбы Паола 40</t>
  </si>
  <si>
    <t>1987,00</t>
  </si>
  <si>
    <t>Рак. COMO 50 д/тумбы 50 Паола New</t>
  </si>
  <si>
    <t>2508,00</t>
  </si>
  <si>
    <t>Раковина Байкал 60 д/тумбы Майами 60</t>
  </si>
  <si>
    <t>2520,00</t>
  </si>
  <si>
    <t>007-755-030-025</t>
  </si>
  <si>
    <t>Зеркало Магнолия 65 Декор</t>
  </si>
  <si>
    <t>2548,00</t>
  </si>
  <si>
    <t>Зеркало сорв. Адель 80 с полочкой</t>
  </si>
  <si>
    <t>Зеркало Майами 60</t>
  </si>
  <si>
    <t>5172,00</t>
  </si>
  <si>
    <t>007-755-030-030</t>
  </si>
  <si>
    <t>Зеркальный шкаф совр Аврора 60</t>
  </si>
  <si>
    <t>7502,00</t>
  </si>
  <si>
    <t>Зеркальный шкаф совр Аврора 70</t>
  </si>
  <si>
    <t>8735,00</t>
  </si>
  <si>
    <t>Зеркальный шкаф Торонто 60 Светл дер.</t>
  </si>
  <si>
    <t>4826,00</t>
  </si>
  <si>
    <t>Зеркальный шкаф Торонто 75  Светл. дер.</t>
  </si>
  <si>
    <t>5277,00</t>
  </si>
  <si>
    <t>Зеркальный шкаф Торонто 60 серый</t>
  </si>
  <si>
    <t>Зеркальный шкаф Торонто 75 серый</t>
  </si>
  <si>
    <t>5007,00</t>
  </si>
  <si>
    <t>Зеркальный шкаф Румба  60</t>
  </si>
  <si>
    <t>4186,00</t>
  </si>
  <si>
    <t>Зеркальный  шкаф Румба  82</t>
  </si>
  <si>
    <t>5123,00</t>
  </si>
  <si>
    <t>Зеркальный шкаф совр Венто 50</t>
  </si>
  <si>
    <t>4207,00</t>
  </si>
  <si>
    <t>Зеркальный шкаф совр. Венто 70</t>
  </si>
  <si>
    <t>4700,00</t>
  </si>
  <si>
    <t>Зеркальный шкаф совр. Венто 60</t>
  </si>
  <si>
    <t>4437,00</t>
  </si>
  <si>
    <t>Зеркальный шкаф совр. Мальта 65</t>
  </si>
  <si>
    <t>4818,00</t>
  </si>
  <si>
    <t>Зеркало совр. Wave  100</t>
  </si>
  <si>
    <t>1002595007 - ООО"ВИГО"</t>
  </si>
  <si>
    <t>9561,00</t>
  </si>
  <si>
    <t xml:space="preserve"> Шкафчик с зеркалом Бостон 70</t>
  </si>
  <si>
    <t>1002885007 - ООО "Аквелла Инвест"</t>
  </si>
  <si>
    <t>6248,00</t>
  </si>
  <si>
    <t>Зеркальный шкаф совр. Паола 50</t>
  </si>
  <si>
    <t>2167,00</t>
  </si>
  <si>
    <t>Зеркальный шкаф совр. Римини 80</t>
  </si>
  <si>
    <t>Зеркальный шкаф совр. Римини 100</t>
  </si>
  <si>
    <t>Зеркальный шкаф совр. Парма 60</t>
  </si>
  <si>
    <t>3640,00</t>
  </si>
  <si>
    <t>Зеркальный шкаф совр. Мерида 65</t>
  </si>
  <si>
    <t>6400,00</t>
  </si>
  <si>
    <t>Зеркальный шкаф совр. Мерида 80</t>
  </si>
  <si>
    <t>7900,00</t>
  </si>
  <si>
    <t>Зерк. шкаф Мерлин new 60 бел</t>
  </si>
  <si>
    <t>7476,00</t>
  </si>
  <si>
    <t>Зерк. шкаф Мерлин new 80 бел</t>
  </si>
  <si>
    <t>8456,00</t>
  </si>
  <si>
    <t>Зерк. шкаф Мерлин new 60 чер</t>
  </si>
  <si>
    <t>Зерк. шкаф Мерлин new 80 чер</t>
  </si>
  <si>
    <t>Зеркальный шкаф Женева 55</t>
  </si>
  <si>
    <t>5243,00</t>
  </si>
  <si>
    <t>007-755-030-040</t>
  </si>
  <si>
    <t>Пенал совр Аврора 30</t>
  </si>
  <si>
    <t>11717,00</t>
  </si>
  <si>
    <t>Пенал  Торонто Светл. дер.</t>
  </si>
  <si>
    <t>7367,00</t>
  </si>
  <si>
    <t>Пенал  Торонто серый</t>
  </si>
  <si>
    <t>Пенал Венто совр. 40</t>
  </si>
  <si>
    <t>7484,00</t>
  </si>
  <si>
    <t>Пенал Мальта совр. 35</t>
  </si>
  <si>
    <t>7958,00</t>
  </si>
  <si>
    <t>Пенал Wave совр. 40</t>
  </si>
  <si>
    <t>11063,00</t>
  </si>
  <si>
    <t xml:space="preserve"> Пенал  Бостон 35</t>
  </si>
  <si>
    <t>10032,00</t>
  </si>
  <si>
    <t>Пенал совр. Римини 40</t>
  </si>
  <si>
    <t>Пенал совр. Лайн 30</t>
  </si>
  <si>
    <t>7293,00</t>
  </si>
  <si>
    <t>Пенал совр. Мерида 30</t>
  </si>
  <si>
    <t>11016,00</t>
  </si>
  <si>
    <t>Пенал совр. Мерида 30 какао</t>
  </si>
  <si>
    <t>Пенал Мерлин new 30 бел</t>
  </si>
  <si>
    <t>11553,00</t>
  </si>
  <si>
    <t>Пенал Мерлин new 30 чер</t>
  </si>
  <si>
    <t>Пенал Майами</t>
  </si>
  <si>
    <t>7171,00</t>
  </si>
  <si>
    <t>Пенал Женева</t>
  </si>
  <si>
    <t>8518,00</t>
  </si>
  <si>
    <t>007-755-030-050</t>
  </si>
  <si>
    <t>Шкаф Поль венге подвесной 60</t>
  </si>
  <si>
    <t>4005,00</t>
  </si>
  <si>
    <t>007-755-040-010</t>
  </si>
  <si>
    <t>Шкаф Лайн 60 подвесной</t>
  </si>
  <si>
    <t>4675,00</t>
  </si>
  <si>
    <t>007-755-040-020</t>
  </si>
  <si>
    <t>Тумба Лайн 60 напольная</t>
  </si>
  <si>
    <t>5418,00</t>
  </si>
  <si>
    <t>007-760-020-020</t>
  </si>
  <si>
    <t>Термо-Гигрометр  д/сауны сердечко SN102</t>
  </si>
  <si>
    <t>1001125007 - ООО "Доктор Баня"</t>
  </si>
  <si>
    <t>422,00</t>
  </si>
  <si>
    <t>Термометр д/сауны круглый SN105</t>
  </si>
  <si>
    <t>Вешалка 3 крючка береза</t>
  </si>
  <si>
    <t>Вешалка 5 крючков береза</t>
  </si>
  <si>
    <t>Табличка "Баня" микс береза</t>
  </si>
  <si>
    <t>372,00</t>
  </si>
  <si>
    <t>Ушат  5л липа</t>
  </si>
  <si>
    <t>1002916007 - ООО"Лесодар"</t>
  </si>
  <si>
    <t>Запарник  15л липа</t>
  </si>
  <si>
    <t>925,00</t>
  </si>
  <si>
    <t>Черпак точеный 0,15 л липа</t>
  </si>
  <si>
    <t>Ковш бондарный 0,6л гориз. ручка</t>
  </si>
  <si>
    <t>Крышка на запарник 15 литровый</t>
  </si>
  <si>
    <t>Ковш бондарный 1,5л гориз.ручка липа</t>
  </si>
  <si>
    <t>Коврик гибкий малый 320х420 липа</t>
  </si>
  <si>
    <t>Решетка на пол 600х700</t>
  </si>
  <si>
    <t>370,00</t>
  </si>
  <si>
    <t>Решетка на пол 500х1000</t>
  </si>
  <si>
    <t>415,00</t>
  </si>
  <si>
    <t>Решетка на пол 700х1000</t>
  </si>
  <si>
    <t>473,00</t>
  </si>
  <si>
    <t>Подголовник гибкий из фигурной рейки</t>
  </si>
  <si>
    <t>374,00</t>
  </si>
  <si>
    <t>Подголовник анатомический липа</t>
  </si>
  <si>
    <t>Абажур настенный липа</t>
  </si>
  <si>
    <t>Абажур из фигурной рейки</t>
  </si>
  <si>
    <t>Вешалка 7 рожков</t>
  </si>
  <si>
    <t>Полка с вешалкой 6ти рожковой</t>
  </si>
  <si>
    <t>556,00</t>
  </si>
  <si>
    <t>Ручка дверная (2шт)</t>
  </si>
  <si>
    <t>318,00</t>
  </si>
  <si>
    <t xml:space="preserve"> Ручка дверная(1шт)</t>
  </si>
  <si>
    <t>Шайка 10 Л (кедр)</t>
  </si>
  <si>
    <t>1182,00</t>
  </si>
  <si>
    <t xml:space="preserve"> Шайка 5 Л (кедр)</t>
  </si>
  <si>
    <t>Обливное устройство 16 Л  "Эконом" кедр</t>
  </si>
  <si>
    <t>2406,00</t>
  </si>
  <si>
    <t>Шайка 10 л с пласт. вставкой</t>
  </si>
  <si>
    <t>Ковш 3л (кедр)</t>
  </si>
  <si>
    <t>Шайка 10 Л (кедр) с пластиковой вкладкой</t>
  </si>
  <si>
    <t>806,00</t>
  </si>
  <si>
    <t>Шапка д/бани и сауны "Вьюнок" (ПЭ 100 %)</t>
  </si>
  <si>
    <t>Ушат-шайка овальная 15 литров</t>
  </si>
  <si>
    <t>1071,00</t>
  </si>
  <si>
    <t>Обливное устройство 18 л вставка пластик</t>
  </si>
  <si>
    <t>2402,00</t>
  </si>
  <si>
    <t>Банная станция "Доктор баня" (овал)</t>
  </si>
  <si>
    <t>1394,00</t>
  </si>
  <si>
    <t>Термометр д/бани и сауны "Банька"</t>
  </si>
  <si>
    <t>Часы песочные 10 мин</t>
  </si>
  <si>
    <t>Шайка 5,6 литров</t>
  </si>
  <si>
    <t>Шайка 20 Л</t>
  </si>
  <si>
    <t>1588,00</t>
  </si>
  <si>
    <t>007-760-030-010</t>
  </si>
  <si>
    <t>Панама д/сауны "ЭКОНОМ" белая</t>
  </si>
  <si>
    <t>Варежка д/сауны "Верхонка" комб</t>
  </si>
  <si>
    <t>Тапки д/сауны мужские</t>
  </si>
  <si>
    <t>Тапки д/сауны женские</t>
  </si>
  <si>
    <t>Панама д/бани "Колокольчик" войлок</t>
  </si>
  <si>
    <t>Ковр д/бани Универсальный 35Х45 сер войл</t>
  </si>
  <si>
    <t>Ковр д/бани Универсальный 45Х45 бел войл</t>
  </si>
  <si>
    <t>Килт д/бани мужской</t>
  </si>
  <si>
    <t>Панама д/бани Универс сер войлок</t>
  </si>
  <si>
    <t>177,00</t>
  </si>
  <si>
    <t>Комп-т д/сауны "Эконом 4 предм, белый</t>
  </si>
  <si>
    <t>Шапка банная RUSSIA, фетр белый</t>
  </si>
  <si>
    <t>1002455007 - ООО "Хазар"</t>
  </si>
  <si>
    <t>Шапка банная "Красивая...", войлок белый</t>
  </si>
  <si>
    <t>190,00</t>
  </si>
  <si>
    <t>Шапка банная "СССР", войлок</t>
  </si>
  <si>
    <t>Шапка банная "Философ", войлок белый</t>
  </si>
  <si>
    <t>Шапка банная "Юный банщик", фетр белый</t>
  </si>
  <si>
    <t>187,00</t>
  </si>
  <si>
    <t>Шапка банная с вышивкой BeautyFree фетр</t>
  </si>
  <si>
    <t>Шапка банная с вышивкой Нам лень фетр</t>
  </si>
  <si>
    <t>Шапка банная без вышивки, войлок</t>
  </si>
  <si>
    <t>Рукавица банная с брезентом</t>
  </si>
  <si>
    <t>Рукавица банная, войлок серый</t>
  </si>
  <si>
    <t>Веник липовый "Невский банщик"</t>
  </si>
  <si>
    <t>Шапка д/сауны "Классическая"</t>
  </si>
  <si>
    <t>Шапка д/сауны "Бейсболка"</t>
  </si>
  <si>
    <t>Шапка д/сауны "Гермес"</t>
  </si>
  <si>
    <t>Чалма д/сауны "Велсофт"</t>
  </si>
  <si>
    <t>Повязка д/волос "Велсофт"</t>
  </si>
  <si>
    <t>Накидка д/предбанника р-р 100*150</t>
  </si>
  <si>
    <t>Накидка  д/предбан р-р 100*150 клетка</t>
  </si>
  <si>
    <t>Килт - простыня (х/б) 80*150</t>
  </si>
  <si>
    <t>287,00</t>
  </si>
  <si>
    <t>Тапки войлочные , 39-40</t>
  </si>
  <si>
    <t>Тапки д/сауны  "Джут"39-40</t>
  </si>
  <si>
    <t>Тапки д/сауны  "Джут"43-44</t>
  </si>
  <si>
    <t>Шапка банная "100% мужик"войлок</t>
  </si>
  <si>
    <t>Шапка банная с вышивкой крестик в ассортименте, фетр</t>
  </si>
  <si>
    <t>231,00</t>
  </si>
  <si>
    <t>Набор масел эфирных "Главбаня"</t>
  </si>
  <si>
    <t>Масло эфирное космет."МАНДАРИН" 17мл</t>
  </si>
  <si>
    <t>007-760-030-020</t>
  </si>
  <si>
    <t>Запарка банная "Эвкалипт" 20х1,5г</t>
  </si>
  <si>
    <t>Запарка банная "Ромашка" 20х1,5г</t>
  </si>
  <si>
    <t>Запарка банная "Мята" 20х1,5г</t>
  </si>
  <si>
    <t>159,00</t>
  </si>
  <si>
    <t>Масло эфирное космет."АПЕЛЬСИН" 17мл</t>
  </si>
  <si>
    <t>Масло эфирное космет."ЛИМОН" 17мл</t>
  </si>
  <si>
    <t>426,00</t>
  </si>
  <si>
    <t>Масло эфирное космет."МОЖЖЕВЕЛЬНИК" 17мл</t>
  </si>
  <si>
    <t>Масло эфирное космет."ПИХТА" 17мл</t>
  </si>
  <si>
    <t>Набор масел эфирных 3х17мл</t>
  </si>
  <si>
    <t>265,00</t>
  </si>
  <si>
    <t>233,00</t>
  </si>
  <si>
    <t>Набор масел эфирных 2 4х17мл</t>
  </si>
  <si>
    <t>Ароматизатор д/бани 100мл "Лаванд. мед"</t>
  </si>
  <si>
    <t>Ароматизатор д/бани 100мл "Мята"</t>
  </si>
  <si>
    <t>Ароматизатор д/бани 100мл "Хвоя"</t>
  </si>
  <si>
    <t>Аромаэнергетик д/бани 100 мл  "Клубника"</t>
  </si>
  <si>
    <t>Кристаллы ментоловые</t>
  </si>
  <si>
    <t>007-760-030-030</t>
  </si>
  <si>
    <t>Мочалка-букле вязаная с ручками</t>
  </si>
  <si>
    <t>317,00</t>
  </si>
  <si>
    <t>Мочалка с ручками мужская, сизаль</t>
  </si>
  <si>
    <t>Мочалка с ручками мужская, крапива</t>
  </si>
  <si>
    <t>Мочалка с ручками мужская, лен</t>
  </si>
  <si>
    <t>Мочалка с руч. "Ladies"  лён</t>
  </si>
  <si>
    <t>134,00</t>
  </si>
  <si>
    <t>212,00</t>
  </si>
  <si>
    <t>Пемза-щётка фигурная диаметр 7см</t>
  </si>
  <si>
    <t>Мочалка рукавица "Джут"</t>
  </si>
  <si>
    <t>Лента массажная "Джут" (длин с порол)</t>
  </si>
  <si>
    <t>Лента массажная "Джут" (длинная)</t>
  </si>
  <si>
    <t>Пемза АЙМО natural</t>
  </si>
  <si>
    <t>Мочалка с вышивкой,ассортимент</t>
  </si>
  <si>
    <t>007-795-010-090</t>
  </si>
  <si>
    <t>07 Замер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</si>
</sst>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001"/>
  <sheetViews>
    <sheetView tabSelected="1" workbookViewId="0">
      <selection activeCell="E4" sqref="E4"/>
    </sheetView>
  </sheetViews>
  <sheetFormatPr defaultRowHeight="15" x14ac:dyDescent="0.25"/>
  <cols>
    <col min="1" max="1" width="9" customWidth="1"/>
    <col min="2" max="2" width="16.5703125" customWidth="1"/>
    <col min="3" max="3" width="10.42578125" customWidth="1"/>
    <col min="4" max="4" width="16.140625" customWidth="1"/>
    <col min="5" max="5" width="53.140625" customWidth="1"/>
    <col min="11" max="11" width="23.85546875" customWidth="1"/>
    <col min="12" max="12" width="15" customWidth="1"/>
  </cols>
  <sheetData>
    <row r="1" spans="2:1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2:13" x14ac:dyDescent="0.25">
      <c r="B2" t="s">
        <v>12</v>
      </c>
      <c r="C2">
        <v>13099126</v>
      </c>
      <c r="D2" t="str">
        <f>"3276000149187"</f>
        <v>3276000149187</v>
      </c>
      <c r="E2" t="s">
        <v>13</v>
      </c>
      <c r="F2" t="s">
        <v>14</v>
      </c>
      <c r="G2">
        <v>1</v>
      </c>
      <c r="H2" t="s">
        <v>15</v>
      </c>
      <c r="I2" t="s">
        <v>16</v>
      </c>
      <c r="J2" t="s">
        <v>17</v>
      </c>
      <c r="L2" t="s">
        <v>18</v>
      </c>
      <c r="M2" t="s">
        <v>19</v>
      </c>
    </row>
    <row r="3" spans="2:13" x14ac:dyDescent="0.25">
      <c r="B3" t="s">
        <v>12</v>
      </c>
      <c r="C3">
        <v>18121214</v>
      </c>
      <c r="D3" t="str">
        <f>"3276005996328"</f>
        <v>3276005996328</v>
      </c>
      <c r="E3" t="s">
        <v>20</v>
      </c>
      <c r="F3" t="s">
        <v>21</v>
      </c>
      <c r="G3">
        <v>1</v>
      </c>
      <c r="H3" t="s">
        <v>15</v>
      </c>
      <c r="I3" t="s">
        <v>16</v>
      </c>
      <c r="J3" t="s">
        <v>17</v>
      </c>
      <c r="L3" t="s">
        <v>18</v>
      </c>
      <c r="M3" t="s">
        <v>22</v>
      </c>
    </row>
    <row r="4" spans="2:13" x14ac:dyDescent="0.25">
      <c r="B4" t="s">
        <v>12</v>
      </c>
      <c r="C4">
        <v>18128125</v>
      </c>
      <c r="D4" t="str">
        <f>"3276000254089"</f>
        <v>3276000254089</v>
      </c>
      <c r="E4" t="s">
        <v>23</v>
      </c>
      <c r="F4" t="s">
        <v>24</v>
      </c>
      <c r="G4">
        <v>1</v>
      </c>
      <c r="H4" t="s">
        <v>15</v>
      </c>
      <c r="I4" t="s">
        <v>16</v>
      </c>
      <c r="J4" t="s">
        <v>17</v>
      </c>
      <c r="L4" t="s">
        <v>18</v>
      </c>
      <c r="M4" t="s">
        <v>25</v>
      </c>
    </row>
    <row r="5" spans="2:13" x14ac:dyDescent="0.25">
      <c r="B5" t="s">
        <v>12</v>
      </c>
      <c r="C5">
        <v>18128264</v>
      </c>
      <c r="D5" t="str">
        <f>"3276000250647"</f>
        <v>3276000250647</v>
      </c>
      <c r="E5" t="s">
        <v>26</v>
      </c>
      <c r="F5" t="s">
        <v>27</v>
      </c>
      <c r="G5">
        <v>1</v>
      </c>
      <c r="H5" t="s">
        <v>15</v>
      </c>
      <c r="I5" t="s">
        <v>16</v>
      </c>
      <c r="J5" t="s">
        <v>28</v>
      </c>
      <c r="L5" t="s">
        <v>18</v>
      </c>
      <c r="M5" t="s">
        <v>29</v>
      </c>
    </row>
    <row r="6" spans="2:13" x14ac:dyDescent="0.25">
      <c r="B6" t="s">
        <v>12</v>
      </c>
      <c r="C6">
        <v>18128272</v>
      </c>
      <c r="D6" t="str">
        <f>"3276000250623"</f>
        <v>3276000250623</v>
      </c>
      <c r="E6" t="s">
        <v>30</v>
      </c>
      <c r="F6" t="s">
        <v>31</v>
      </c>
      <c r="G6">
        <v>1</v>
      </c>
      <c r="H6" t="s">
        <v>15</v>
      </c>
      <c r="I6" t="s">
        <v>16</v>
      </c>
      <c r="J6" t="s">
        <v>28</v>
      </c>
      <c r="L6" t="s">
        <v>18</v>
      </c>
      <c r="M6" t="s">
        <v>32</v>
      </c>
    </row>
    <row r="7" spans="2:13" x14ac:dyDescent="0.25">
      <c r="B7" t="s">
        <v>12</v>
      </c>
      <c r="C7">
        <v>18128281</v>
      </c>
      <c r="D7" t="str">
        <f>"3276000250630"</f>
        <v>3276000250630</v>
      </c>
      <c r="E7" t="s">
        <v>33</v>
      </c>
      <c r="F7" t="s">
        <v>34</v>
      </c>
      <c r="G7">
        <v>1</v>
      </c>
      <c r="H7" t="s">
        <v>15</v>
      </c>
      <c r="I7" t="s">
        <v>16</v>
      </c>
      <c r="J7" t="s">
        <v>28</v>
      </c>
      <c r="L7" t="s">
        <v>18</v>
      </c>
      <c r="M7" t="s">
        <v>35</v>
      </c>
    </row>
    <row r="8" spans="2:13" x14ac:dyDescent="0.25">
      <c r="B8" t="s">
        <v>12</v>
      </c>
      <c r="C8">
        <v>18218681</v>
      </c>
      <c r="D8" t="str">
        <f>"4627102140463"</f>
        <v>4627102140463</v>
      </c>
      <c r="E8" t="s">
        <v>36</v>
      </c>
      <c r="F8" t="s">
        <v>21</v>
      </c>
      <c r="G8">
        <v>1</v>
      </c>
      <c r="H8" t="s">
        <v>18</v>
      </c>
      <c r="I8" t="s">
        <v>16</v>
      </c>
      <c r="J8" t="s">
        <v>37</v>
      </c>
      <c r="L8" t="s">
        <v>18</v>
      </c>
      <c r="M8" t="s">
        <v>38</v>
      </c>
    </row>
    <row r="9" spans="2:13" x14ac:dyDescent="0.25">
      <c r="B9" t="s">
        <v>12</v>
      </c>
      <c r="C9">
        <v>18218690</v>
      </c>
      <c r="D9" t="str">
        <f>"4627102140470"</f>
        <v>4627102140470</v>
      </c>
      <c r="E9" t="s">
        <v>39</v>
      </c>
      <c r="F9" t="s">
        <v>40</v>
      </c>
      <c r="G9">
        <v>1</v>
      </c>
      <c r="H9" t="s">
        <v>18</v>
      </c>
      <c r="I9" t="s">
        <v>16</v>
      </c>
      <c r="J9" t="s">
        <v>37</v>
      </c>
      <c r="L9" t="s">
        <v>18</v>
      </c>
      <c r="M9" t="s">
        <v>41</v>
      </c>
    </row>
    <row r="10" spans="2:13" x14ac:dyDescent="0.25">
      <c r="B10" t="s">
        <v>12</v>
      </c>
      <c r="C10">
        <v>18218711</v>
      </c>
      <c r="D10" t="str">
        <f>"4627102140494"</f>
        <v>4627102140494</v>
      </c>
      <c r="E10" t="s">
        <v>42</v>
      </c>
      <c r="F10" t="s">
        <v>43</v>
      </c>
      <c r="G10">
        <v>1</v>
      </c>
      <c r="H10" t="s">
        <v>18</v>
      </c>
      <c r="I10" t="s">
        <v>16</v>
      </c>
      <c r="J10" t="s">
        <v>37</v>
      </c>
      <c r="L10" t="s">
        <v>18</v>
      </c>
      <c r="M10" t="s">
        <v>44</v>
      </c>
    </row>
    <row r="11" spans="2:13" x14ac:dyDescent="0.25">
      <c r="B11" t="s">
        <v>45</v>
      </c>
      <c r="C11">
        <v>13099169</v>
      </c>
      <c r="D11" t="str">
        <f>"3276000149330"</f>
        <v>3276000149330</v>
      </c>
      <c r="E11" t="s">
        <v>46</v>
      </c>
      <c r="F11" t="s">
        <v>14</v>
      </c>
      <c r="G11">
        <v>0</v>
      </c>
      <c r="H11" t="s">
        <v>15</v>
      </c>
      <c r="I11" t="s">
        <v>16</v>
      </c>
      <c r="J11" t="s">
        <v>28</v>
      </c>
      <c r="L11" t="s">
        <v>18</v>
      </c>
      <c r="M11" t="s">
        <v>47</v>
      </c>
    </row>
    <row r="12" spans="2:13" x14ac:dyDescent="0.25">
      <c r="B12" t="s">
        <v>45</v>
      </c>
      <c r="C12">
        <v>13099177</v>
      </c>
      <c r="D12" t="str">
        <f>"3276000149347"</f>
        <v>3276000149347</v>
      </c>
      <c r="E12" t="s">
        <v>46</v>
      </c>
      <c r="F12" t="s">
        <v>48</v>
      </c>
      <c r="G12">
        <v>1</v>
      </c>
      <c r="H12" t="s">
        <v>15</v>
      </c>
      <c r="I12" t="s">
        <v>16</v>
      </c>
      <c r="J12" t="s">
        <v>17</v>
      </c>
      <c r="L12" t="s">
        <v>18</v>
      </c>
      <c r="M12" t="s">
        <v>49</v>
      </c>
    </row>
    <row r="13" spans="2:13" x14ac:dyDescent="0.25">
      <c r="B13" t="s">
        <v>45</v>
      </c>
      <c r="C13">
        <v>14249528</v>
      </c>
      <c r="D13" t="str">
        <f>"4051343029728"</f>
        <v>4051343029728</v>
      </c>
      <c r="E13" t="s">
        <v>50</v>
      </c>
      <c r="F13" t="s">
        <v>14</v>
      </c>
      <c r="G13">
        <v>1</v>
      </c>
      <c r="H13" t="s">
        <v>15</v>
      </c>
      <c r="I13" t="s">
        <v>51</v>
      </c>
      <c r="J13" t="s">
        <v>52</v>
      </c>
      <c r="L13" t="s">
        <v>18</v>
      </c>
      <c r="M13" t="s">
        <v>53</v>
      </c>
    </row>
    <row r="14" spans="2:13" x14ac:dyDescent="0.25">
      <c r="B14" t="s">
        <v>45</v>
      </c>
      <c r="C14">
        <v>14255506</v>
      </c>
      <c r="D14" t="str">
        <f>"4607062698211"</f>
        <v>4607062698211</v>
      </c>
      <c r="E14" t="s">
        <v>54</v>
      </c>
      <c r="F14" t="s">
        <v>31</v>
      </c>
      <c r="G14">
        <v>1</v>
      </c>
      <c r="H14" t="s">
        <v>15</v>
      </c>
      <c r="I14" t="s">
        <v>16</v>
      </c>
      <c r="J14" t="s">
        <v>55</v>
      </c>
      <c r="L14" t="s">
        <v>18</v>
      </c>
      <c r="M14" t="s">
        <v>56</v>
      </c>
    </row>
    <row r="15" spans="2:13" x14ac:dyDescent="0.25">
      <c r="B15" t="s">
        <v>45</v>
      </c>
      <c r="C15">
        <v>14255514</v>
      </c>
      <c r="D15" t="str">
        <f>"4607062698228"</f>
        <v>4607062698228</v>
      </c>
      <c r="E15" t="s">
        <v>57</v>
      </c>
      <c r="F15" t="s">
        <v>27</v>
      </c>
      <c r="G15">
        <v>1</v>
      </c>
      <c r="H15" t="s">
        <v>15</v>
      </c>
      <c r="I15" t="s">
        <v>51</v>
      </c>
      <c r="J15" t="s">
        <v>55</v>
      </c>
      <c r="L15" t="s">
        <v>18</v>
      </c>
      <c r="M15" t="s">
        <v>58</v>
      </c>
    </row>
    <row r="16" spans="2:13" x14ac:dyDescent="0.25">
      <c r="B16" t="s">
        <v>45</v>
      </c>
      <c r="C16">
        <v>17405400</v>
      </c>
      <c r="D16" t="str">
        <f>"6903223326015"</f>
        <v>6903223326015</v>
      </c>
      <c r="E16" t="s">
        <v>59</v>
      </c>
      <c r="F16" t="s">
        <v>60</v>
      </c>
      <c r="G16">
        <v>1</v>
      </c>
      <c r="H16" t="s">
        <v>15</v>
      </c>
      <c r="I16" t="s">
        <v>16</v>
      </c>
      <c r="J16" t="s">
        <v>61</v>
      </c>
      <c r="L16" t="s">
        <v>18</v>
      </c>
      <c r="M16" t="s">
        <v>62</v>
      </c>
    </row>
    <row r="17" spans="2:13" x14ac:dyDescent="0.25">
      <c r="B17" t="s">
        <v>45</v>
      </c>
      <c r="C17">
        <v>18121185</v>
      </c>
      <c r="D17" t="str">
        <f>"3276005997004"</f>
        <v>3276005997004</v>
      </c>
      <c r="E17" t="s">
        <v>63</v>
      </c>
      <c r="F17" t="s">
        <v>21</v>
      </c>
      <c r="G17">
        <v>1</v>
      </c>
      <c r="H17" t="s">
        <v>15</v>
      </c>
      <c r="I17" t="s">
        <v>16</v>
      </c>
      <c r="J17" t="s">
        <v>17</v>
      </c>
      <c r="L17" t="s">
        <v>18</v>
      </c>
      <c r="M17" t="s">
        <v>22</v>
      </c>
    </row>
    <row r="18" spans="2:13" x14ac:dyDescent="0.25">
      <c r="B18" t="s">
        <v>45</v>
      </c>
      <c r="C18">
        <v>18121206</v>
      </c>
      <c r="D18" t="str">
        <f>"3276000250395"</f>
        <v>3276000250395</v>
      </c>
      <c r="E18" t="s">
        <v>64</v>
      </c>
      <c r="F18" t="s">
        <v>21</v>
      </c>
      <c r="G18">
        <v>1</v>
      </c>
      <c r="H18" t="s">
        <v>15</v>
      </c>
      <c r="I18" t="s">
        <v>16</v>
      </c>
      <c r="J18" t="s">
        <v>17</v>
      </c>
      <c r="L18" t="s">
        <v>18</v>
      </c>
      <c r="M18" t="s">
        <v>65</v>
      </c>
    </row>
    <row r="19" spans="2:13" x14ac:dyDescent="0.25">
      <c r="B19" t="s">
        <v>45</v>
      </c>
      <c r="C19">
        <v>18128248</v>
      </c>
      <c r="D19" t="str">
        <f>"3276000250616"</f>
        <v>3276000250616</v>
      </c>
      <c r="E19" t="s">
        <v>66</v>
      </c>
      <c r="F19" t="s">
        <v>31</v>
      </c>
      <c r="G19">
        <v>1</v>
      </c>
      <c r="H19" t="s">
        <v>15</v>
      </c>
      <c r="I19" t="s">
        <v>16</v>
      </c>
      <c r="J19" t="s">
        <v>28</v>
      </c>
      <c r="L19" t="s">
        <v>18</v>
      </c>
      <c r="M19" t="s">
        <v>67</v>
      </c>
    </row>
    <row r="20" spans="2:13" x14ac:dyDescent="0.25">
      <c r="B20" t="s">
        <v>45</v>
      </c>
      <c r="C20">
        <v>18128256</v>
      </c>
      <c r="D20" t="str">
        <f>"3276000250609"</f>
        <v>3276000250609</v>
      </c>
      <c r="E20" t="s">
        <v>68</v>
      </c>
      <c r="F20" t="s">
        <v>43</v>
      </c>
      <c r="G20">
        <v>1</v>
      </c>
      <c r="H20" t="s">
        <v>15</v>
      </c>
      <c r="I20" t="s">
        <v>16</v>
      </c>
      <c r="J20" t="s">
        <v>28</v>
      </c>
      <c r="L20" t="s">
        <v>18</v>
      </c>
      <c r="M20" t="s">
        <v>69</v>
      </c>
    </row>
    <row r="21" spans="2:13" x14ac:dyDescent="0.25">
      <c r="B21" t="s">
        <v>45</v>
      </c>
      <c r="C21">
        <v>18128547</v>
      </c>
      <c r="D21" t="str">
        <f>"3276000250401"</f>
        <v>3276000250401</v>
      </c>
      <c r="E21" t="s">
        <v>70</v>
      </c>
      <c r="F21" t="s">
        <v>21</v>
      </c>
      <c r="G21">
        <v>1</v>
      </c>
      <c r="H21" t="s">
        <v>15</v>
      </c>
      <c r="I21" t="s">
        <v>16</v>
      </c>
      <c r="J21" t="s">
        <v>17</v>
      </c>
      <c r="L21" t="s">
        <v>18</v>
      </c>
      <c r="M21" t="s">
        <v>71</v>
      </c>
    </row>
    <row r="22" spans="2:13" x14ac:dyDescent="0.25">
      <c r="B22" t="s">
        <v>72</v>
      </c>
      <c r="C22">
        <v>13099150</v>
      </c>
      <c r="D22" t="str">
        <f>"3276000149248"</f>
        <v>3276000149248</v>
      </c>
      <c r="E22" t="s">
        <v>73</v>
      </c>
      <c r="F22" t="s">
        <v>24</v>
      </c>
      <c r="G22">
        <v>0</v>
      </c>
      <c r="H22" t="s">
        <v>18</v>
      </c>
      <c r="I22" t="s">
        <v>16</v>
      </c>
      <c r="J22" t="s">
        <v>17</v>
      </c>
      <c r="K22" s="1">
        <v>42983</v>
      </c>
      <c r="L22" t="s">
        <v>18</v>
      </c>
      <c r="M22" t="s">
        <v>74</v>
      </c>
    </row>
    <row r="23" spans="2:13" x14ac:dyDescent="0.25">
      <c r="B23" t="s">
        <v>72</v>
      </c>
      <c r="C23">
        <v>18121249</v>
      </c>
      <c r="D23" t="str">
        <f>"3276005996649"</f>
        <v>3276005996649</v>
      </c>
      <c r="E23" t="s">
        <v>75</v>
      </c>
      <c r="F23" t="s">
        <v>43</v>
      </c>
      <c r="G23">
        <v>1</v>
      </c>
      <c r="H23" t="s">
        <v>15</v>
      </c>
      <c r="I23" t="s">
        <v>16</v>
      </c>
      <c r="J23" t="s">
        <v>17</v>
      </c>
      <c r="L23" t="s">
        <v>18</v>
      </c>
      <c r="M23" t="s">
        <v>76</v>
      </c>
    </row>
    <row r="24" spans="2:13" x14ac:dyDescent="0.25">
      <c r="B24" t="s">
        <v>72</v>
      </c>
      <c r="C24">
        <v>18128133</v>
      </c>
      <c r="D24" t="str">
        <f>"3276000254102"</f>
        <v>3276000254102</v>
      </c>
      <c r="E24" t="s">
        <v>77</v>
      </c>
      <c r="F24" t="s">
        <v>24</v>
      </c>
      <c r="G24">
        <v>1</v>
      </c>
      <c r="H24" t="s">
        <v>15</v>
      </c>
      <c r="I24" t="s">
        <v>16</v>
      </c>
      <c r="J24" t="s">
        <v>17</v>
      </c>
      <c r="L24" t="s">
        <v>18</v>
      </c>
      <c r="M24" t="s">
        <v>78</v>
      </c>
    </row>
    <row r="25" spans="2:13" x14ac:dyDescent="0.25">
      <c r="B25" t="s">
        <v>72</v>
      </c>
      <c r="C25">
        <v>18128141</v>
      </c>
      <c r="D25" t="str">
        <f>"3276000254096"</f>
        <v>3276000254096</v>
      </c>
      <c r="E25" t="s">
        <v>79</v>
      </c>
      <c r="F25" t="s">
        <v>24</v>
      </c>
      <c r="G25">
        <v>1</v>
      </c>
      <c r="H25" t="s">
        <v>15</v>
      </c>
      <c r="I25" t="s">
        <v>16</v>
      </c>
      <c r="J25" t="s">
        <v>17</v>
      </c>
      <c r="L25" t="s">
        <v>18</v>
      </c>
      <c r="M25" t="s">
        <v>80</v>
      </c>
    </row>
    <row r="26" spans="2:13" x14ac:dyDescent="0.25">
      <c r="B26" t="s">
        <v>72</v>
      </c>
      <c r="C26">
        <v>18128299</v>
      </c>
      <c r="D26" t="str">
        <f>"3276000250661"</f>
        <v>3276000250661</v>
      </c>
      <c r="E26" t="s">
        <v>81</v>
      </c>
      <c r="F26" t="s">
        <v>14</v>
      </c>
      <c r="G26">
        <v>1</v>
      </c>
      <c r="H26" t="s">
        <v>15</v>
      </c>
      <c r="I26" t="s">
        <v>16</v>
      </c>
      <c r="J26" t="s">
        <v>28</v>
      </c>
      <c r="L26" t="s">
        <v>18</v>
      </c>
      <c r="M26" t="s">
        <v>82</v>
      </c>
    </row>
    <row r="27" spans="2:13" x14ac:dyDescent="0.25">
      <c r="B27" t="s">
        <v>72</v>
      </c>
      <c r="C27">
        <v>18128301</v>
      </c>
      <c r="D27" t="str">
        <f>"3276000250654"</f>
        <v>3276000250654</v>
      </c>
      <c r="E27" t="s">
        <v>83</v>
      </c>
      <c r="F27" t="s">
        <v>31</v>
      </c>
      <c r="G27">
        <v>1</v>
      </c>
      <c r="H27" t="s">
        <v>15</v>
      </c>
      <c r="I27" t="s">
        <v>16</v>
      </c>
      <c r="J27" t="s">
        <v>28</v>
      </c>
      <c r="L27" t="s">
        <v>18</v>
      </c>
      <c r="M27" t="s">
        <v>67</v>
      </c>
    </row>
    <row r="28" spans="2:13" x14ac:dyDescent="0.25">
      <c r="B28" t="s">
        <v>84</v>
      </c>
      <c r="C28">
        <v>13099206</v>
      </c>
      <c r="D28" t="str">
        <f>"3276000149491"</f>
        <v>3276000149491</v>
      </c>
      <c r="E28" t="s">
        <v>85</v>
      </c>
      <c r="F28" t="s">
        <v>14</v>
      </c>
      <c r="G28">
        <v>0</v>
      </c>
      <c r="H28" t="s">
        <v>18</v>
      </c>
      <c r="I28" t="s">
        <v>16</v>
      </c>
      <c r="J28" t="s">
        <v>28</v>
      </c>
      <c r="K28" s="1">
        <v>42983</v>
      </c>
      <c r="L28" t="s">
        <v>18</v>
      </c>
      <c r="M28" t="s">
        <v>86</v>
      </c>
    </row>
    <row r="29" spans="2:13" x14ac:dyDescent="0.25">
      <c r="B29" t="s">
        <v>87</v>
      </c>
      <c r="C29">
        <v>11825104</v>
      </c>
      <c r="D29" t="str">
        <f>"6954823300073"</f>
        <v>6954823300073</v>
      </c>
      <c r="E29" t="s">
        <v>88</v>
      </c>
      <c r="F29" t="s">
        <v>60</v>
      </c>
      <c r="G29">
        <v>0</v>
      </c>
      <c r="H29" t="s">
        <v>18</v>
      </c>
      <c r="I29" t="s">
        <v>16</v>
      </c>
      <c r="J29" t="s">
        <v>61</v>
      </c>
      <c r="L29" t="s">
        <v>18</v>
      </c>
      <c r="M29" t="s">
        <v>89</v>
      </c>
    </row>
    <row r="30" spans="2:13" x14ac:dyDescent="0.25">
      <c r="B30" t="s">
        <v>87</v>
      </c>
      <c r="C30">
        <v>11825112</v>
      </c>
      <c r="D30" t="str">
        <f>"2000118251125"</f>
        <v>2000118251125</v>
      </c>
      <c r="E30" t="s">
        <v>90</v>
      </c>
      <c r="F30" t="s">
        <v>91</v>
      </c>
      <c r="G30">
        <v>0</v>
      </c>
      <c r="H30" t="s">
        <v>18</v>
      </c>
      <c r="I30" t="s">
        <v>16</v>
      </c>
      <c r="J30" t="s">
        <v>61</v>
      </c>
      <c r="L30" t="s">
        <v>18</v>
      </c>
      <c r="M30" t="s">
        <v>92</v>
      </c>
    </row>
    <row r="31" spans="2:13" x14ac:dyDescent="0.25">
      <c r="B31" t="s">
        <v>87</v>
      </c>
      <c r="C31">
        <v>13118657</v>
      </c>
      <c r="D31" t="str">
        <f>"3427341251330"</f>
        <v>3427341251330</v>
      </c>
      <c r="E31" t="s">
        <v>93</v>
      </c>
      <c r="F31" t="s">
        <v>14</v>
      </c>
      <c r="G31">
        <v>1</v>
      </c>
      <c r="H31" t="s">
        <v>15</v>
      </c>
      <c r="I31" t="s">
        <v>16</v>
      </c>
      <c r="J31" t="s">
        <v>28</v>
      </c>
      <c r="L31" t="s">
        <v>18</v>
      </c>
      <c r="M31" t="s">
        <v>94</v>
      </c>
    </row>
    <row r="32" spans="2:13" x14ac:dyDescent="0.25">
      <c r="B32" t="s">
        <v>87</v>
      </c>
      <c r="C32">
        <v>13118665</v>
      </c>
      <c r="D32" t="str">
        <f>"3427341251347"</f>
        <v>3427341251347</v>
      </c>
      <c r="E32" t="s">
        <v>95</v>
      </c>
      <c r="F32" t="s">
        <v>31</v>
      </c>
      <c r="G32">
        <v>1</v>
      </c>
      <c r="H32" t="s">
        <v>18</v>
      </c>
      <c r="I32" t="s">
        <v>16</v>
      </c>
      <c r="J32" t="s">
        <v>17</v>
      </c>
      <c r="L32" t="s">
        <v>18</v>
      </c>
      <c r="M32" t="s">
        <v>96</v>
      </c>
    </row>
    <row r="33" spans="2:13" x14ac:dyDescent="0.25">
      <c r="B33" t="s">
        <v>87</v>
      </c>
      <c r="C33">
        <v>13118681</v>
      </c>
      <c r="D33" t="str">
        <f>"3427341251392"</f>
        <v>3427341251392</v>
      </c>
      <c r="E33" t="s">
        <v>97</v>
      </c>
      <c r="F33" t="s">
        <v>31</v>
      </c>
      <c r="G33">
        <v>1</v>
      </c>
      <c r="H33" t="s">
        <v>15</v>
      </c>
      <c r="I33" t="s">
        <v>16</v>
      </c>
      <c r="J33" t="s">
        <v>17</v>
      </c>
      <c r="L33" t="s">
        <v>18</v>
      </c>
      <c r="M33" t="s">
        <v>98</v>
      </c>
    </row>
    <row r="34" spans="2:13" x14ac:dyDescent="0.25">
      <c r="B34" t="s">
        <v>99</v>
      </c>
      <c r="C34">
        <v>13118673</v>
      </c>
      <c r="D34" t="str">
        <f>"3427341251361"</f>
        <v>3427341251361</v>
      </c>
      <c r="E34" t="s">
        <v>100</v>
      </c>
      <c r="F34" t="s">
        <v>21</v>
      </c>
      <c r="G34">
        <v>1</v>
      </c>
      <c r="H34" t="s">
        <v>18</v>
      </c>
      <c r="I34" t="s">
        <v>16</v>
      </c>
      <c r="J34" t="s">
        <v>28</v>
      </c>
      <c r="L34" t="s">
        <v>18</v>
      </c>
      <c r="M34" t="s">
        <v>101</v>
      </c>
    </row>
    <row r="35" spans="2:13" x14ac:dyDescent="0.25">
      <c r="B35" t="s">
        <v>102</v>
      </c>
      <c r="C35">
        <v>13100051</v>
      </c>
      <c r="D35" t="str">
        <f>"3276000148470"</f>
        <v>3276000148470</v>
      </c>
      <c r="E35" t="s">
        <v>103</v>
      </c>
      <c r="F35" t="s">
        <v>27</v>
      </c>
      <c r="G35">
        <v>1</v>
      </c>
      <c r="H35" t="s">
        <v>18</v>
      </c>
      <c r="I35" t="s">
        <v>16</v>
      </c>
      <c r="J35" t="s">
        <v>17</v>
      </c>
      <c r="L35" t="s">
        <v>18</v>
      </c>
      <c r="M35" t="s">
        <v>104</v>
      </c>
    </row>
    <row r="36" spans="2:13" x14ac:dyDescent="0.25">
      <c r="B36" t="s">
        <v>102</v>
      </c>
      <c r="C36">
        <v>13100086</v>
      </c>
      <c r="D36" t="str">
        <f>"3276000148463"</f>
        <v>3276000148463</v>
      </c>
      <c r="E36" t="s">
        <v>105</v>
      </c>
      <c r="F36" t="s">
        <v>34</v>
      </c>
      <c r="G36">
        <v>1</v>
      </c>
      <c r="H36" t="s">
        <v>15</v>
      </c>
      <c r="I36" t="s">
        <v>16</v>
      </c>
      <c r="J36" t="s">
        <v>28</v>
      </c>
      <c r="L36" t="s">
        <v>18</v>
      </c>
      <c r="M36" t="s">
        <v>104</v>
      </c>
    </row>
    <row r="37" spans="2:13" x14ac:dyDescent="0.25">
      <c r="B37" t="s">
        <v>102</v>
      </c>
      <c r="C37">
        <v>13118702</v>
      </c>
      <c r="D37" t="str">
        <f>"3427341251408"</f>
        <v>3427341251408</v>
      </c>
      <c r="E37" t="s">
        <v>106</v>
      </c>
      <c r="F37" t="s">
        <v>27</v>
      </c>
      <c r="G37">
        <v>1</v>
      </c>
      <c r="H37" t="s">
        <v>18</v>
      </c>
      <c r="I37" t="s">
        <v>16</v>
      </c>
      <c r="J37" t="s">
        <v>17</v>
      </c>
      <c r="L37" t="s">
        <v>18</v>
      </c>
      <c r="M37" t="s">
        <v>107</v>
      </c>
    </row>
    <row r="38" spans="2:13" x14ac:dyDescent="0.25">
      <c r="B38" t="s">
        <v>102</v>
      </c>
      <c r="C38">
        <v>13118710</v>
      </c>
      <c r="D38" t="str">
        <f>"3427341251415"</f>
        <v>3427341251415</v>
      </c>
      <c r="E38" t="s">
        <v>108</v>
      </c>
      <c r="F38" t="s">
        <v>109</v>
      </c>
      <c r="G38">
        <v>1</v>
      </c>
      <c r="H38" t="s">
        <v>18</v>
      </c>
      <c r="I38" t="s">
        <v>16</v>
      </c>
      <c r="J38" t="s">
        <v>28</v>
      </c>
      <c r="L38" t="s">
        <v>18</v>
      </c>
      <c r="M38" t="s">
        <v>110</v>
      </c>
    </row>
    <row r="39" spans="2:13" x14ac:dyDescent="0.25">
      <c r="B39" t="s">
        <v>102</v>
      </c>
      <c r="C39">
        <v>14249544</v>
      </c>
      <c r="D39" t="str">
        <f>"4051343029735"</f>
        <v>4051343029735</v>
      </c>
      <c r="E39" t="s">
        <v>111</v>
      </c>
      <c r="F39" t="s">
        <v>14</v>
      </c>
      <c r="G39">
        <v>1</v>
      </c>
      <c r="H39" t="s">
        <v>15</v>
      </c>
      <c r="I39" t="s">
        <v>51</v>
      </c>
      <c r="J39" t="s">
        <v>52</v>
      </c>
      <c r="L39" t="s">
        <v>18</v>
      </c>
      <c r="M39" t="s">
        <v>112</v>
      </c>
    </row>
    <row r="40" spans="2:13" x14ac:dyDescent="0.25">
      <c r="B40" t="s">
        <v>102</v>
      </c>
      <c r="C40">
        <v>14267216</v>
      </c>
      <c r="D40" t="str">
        <f>"4600779998988"</f>
        <v>4600779998988</v>
      </c>
      <c r="E40" t="s">
        <v>113</v>
      </c>
      <c r="F40" t="s">
        <v>114</v>
      </c>
      <c r="G40">
        <v>1</v>
      </c>
      <c r="H40" t="s">
        <v>18</v>
      </c>
      <c r="I40" t="s">
        <v>16</v>
      </c>
      <c r="J40" t="s">
        <v>115</v>
      </c>
      <c r="L40" t="s">
        <v>18</v>
      </c>
      <c r="M40" t="s">
        <v>116</v>
      </c>
    </row>
    <row r="41" spans="2:13" x14ac:dyDescent="0.25">
      <c r="B41" t="s">
        <v>117</v>
      </c>
      <c r="C41">
        <v>13099214</v>
      </c>
      <c r="D41" t="str">
        <f>"3276200262051"</f>
        <v>3276200262051</v>
      </c>
      <c r="E41" t="s">
        <v>118</v>
      </c>
      <c r="F41" t="s">
        <v>48</v>
      </c>
      <c r="G41">
        <v>0</v>
      </c>
      <c r="H41" t="s">
        <v>15</v>
      </c>
      <c r="I41" t="s">
        <v>16</v>
      </c>
      <c r="J41" t="s">
        <v>28</v>
      </c>
      <c r="L41" t="s">
        <v>18</v>
      </c>
      <c r="M41" t="s">
        <v>119</v>
      </c>
    </row>
    <row r="42" spans="2:13" x14ac:dyDescent="0.25">
      <c r="B42" t="s">
        <v>117</v>
      </c>
      <c r="C42">
        <v>13099900</v>
      </c>
      <c r="D42" t="str">
        <f>"3276200278892"</f>
        <v>3276200278892</v>
      </c>
      <c r="E42" t="s">
        <v>120</v>
      </c>
      <c r="F42" t="s">
        <v>31</v>
      </c>
      <c r="G42">
        <v>1</v>
      </c>
      <c r="H42" t="s">
        <v>15</v>
      </c>
      <c r="I42" t="s">
        <v>16</v>
      </c>
      <c r="J42" t="s">
        <v>28</v>
      </c>
      <c r="L42" t="s">
        <v>18</v>
      </c>
      <c r="M42" t="s">
        <v>121</v>
      </c>
    </row>
    <row r="43" spans="2:13" x14ac:dyDescent="0.25">
      <c r="B43" t="s">
        <v>117</v>
      </c>
      <c r="C43">
        <v>14334626</v>
      </c>
      <c r="D43" t="str">
        <f>"3276004702463"</f>
        <v>3276004702463</v>
      </c>
      <c r="E43" t="s">
        <v>122</v>
      </c>
      <c r="F43" t="s">
        <v>24</v>
      </c>
      <c r="G43">
        <v>1</v>
      </c>
      <c r="H43" t="s">
        <v>15</v>
      </c>
      <c r="I43" t="s">
        <v>16</v>
      </c>
      <c r="J43" t="s">
        <v>17</v>
      </c>
      <c r="L43" t="s">
        <v>18</v>
      </c>
      <c r="M43" t="s">
        <v>123</v>
      </c>
    </row>
    <row r="44" spans="2:13" x14ac:dyDescent="0.25">
      <c r="B44" t="s">
        <v>117</v>
      </c>
      <c r="C44">
        <v>14334634</v>
      </c>
      <c r="D44" t="str">
        <f>"3276004702425"</f>
        <v>3276004702425</v>
      </c>
      <c r="E44" t="s">
        <v>124</v>
      </c>
      <c r="F44" t="s">
        <v>24</v>
      </c>
      <c r="G44">
        <v>1</v>
      </c>
      <c r="H44" t="s">
        <v>15</v>
      </c>
      <c r="I44" t="s">
        <v>16</v>
      </c>
      <c r="J44" t="s">
        <v>17</v>
      </c>
      <c r="L44" t="s">
        <v>18</v>
      </c>
      <c r="M44" t="s">
        <v>125</v>
      </c>
    </row>
    <row r="45" spans="2:13" x14ac:dyDescent="0.25">
      <c r="B45" t="s">
        <v>117</v>
      </c>
      <c r="C45">
        <v>18121134</v>
      </c>
      <c r="D45" t="str">
        <f>"3276000244073"</f>
        <v>3276000244073</v>
      </c>
      <c r="E45" t="s">
        <v>126</v>
      </c>
      <c r="F45" t="s">
        <v>24</v>
      </c>
      <c r="G45">
        <v>1</v>
      </c>
      <c r="H45" t="s">
        <v>15</v>
      </c>
      <c r="I45" t="s">
        <v>16</v>
      </c>
      <c r="J45" t="s">
        <v>17</v>
      </c>
      <c r="L45" t="s">
        <v>18</v>
      </c>
      <c r="M45" t="s">
        <v>127</v>
      </c>
    </row>
    <row r="46" spans="2:13" x14ac:dyDescent="0.25">
      <c r="B46" t="s">
        <v>117</v>
      </c>
      <c r="C46">
        <v>18121142</v>
      </c>
      <c r="D46" t="str">
        <f>"3276000244035"</f>
        <v>3276000244035</v>
      </c>
      <c r="E46" t="s">
        <v>128</v>
      </c>
      <c r="F46" t="s">
        <v>43</v>
      </c>
      <c r="G46">
        <v>1</v>
      </c>
      <c r="H46" t="s">
        <v>15</v>
      </c>
      <c r="I46" t="s">
        <v>16</v>
      </c>
      <c r="J46" t="s">
        <v>17</v>
      </c>
      <c r="L46" t="s">
        <v>18</v>
      </c>
      <c r="M46" t="s">
        <v>129</v>
      </c>
    </row>
    <row r="47" spans="2:13" x14ac:dyDescent="0.25">
      <c r="B47" t="s">
        <v>117</v>
      </c>
      <c r="C47">
        <v>18128563</v>
      </c>
      <c r="D47" t="str">
        <f>"3276000254126"</f>
        <v>3276000254126</v>
      </c>
      <c r="E47" t="s">
        <v>130</v>
      </c>
      <c r="F47" t="s">
        <v>21</v>
      </c>
      <c r="G47">
        <v>1</v>
      </c>
      <c r="H47" t="s">
        <v>15</v>
      </c>
      <c r="I47" t="s">
        <v>16</v>
      </c>
      <c r="J47" t="s">
        <v>17</v>
      </c>
      <c r="L47" t="s">
        <v>18</v>
      </c>
      <c r="M47" t="s">
        <v>131</v>
      </c>
    </row>
    <row r="48" spans="2:13" x14ac:dyDescent="0.25">
      <c r="B48" t="s">
        <v>117</v>
      </c>
      <c r="C48">
        <v>18128571</v>
      </c>
      <c r="D48" t="str">
        <f>"3276000254119"</f>
        <v>3276000254119</v>
      </c>
      <c r="E48" t="s">
        <v>132</v>
      </c>
      <c r="F48" t="s">
        <v>21</v>
      </c>
      <c r="G48">
        <v>1</v>
      </c>
      <c r="H48" t="s">
        <v>15</v>
      </c>
      <c r="I48" t="s">
        <v>16</v>
      </c>
      <c r="J48" t="s">
        <v>17</v>
      </c>
      <c r="L48" t="s">
        <v>18</v>
      </c>
      <c r="M48" t="s">
        <v>133</v>
      </c>
    </row>
    <row r="49" spans="2:13" x14ac:dyDescent="0.25">
      <c r="B49" t="s">
        <v>117</v>
      </c>
      <c r="C49">
        <v>18251828</v>
      </c>
      <c r="D49" t="str">
        <f>"4627078252467"</f>
        <v>4627078252467</v>
      </c>
      <c r="E49" t="s">
        <v>134</v>
      </c>
      <c r="F49" t="s">
        <v>24</v>
      </c>
      <c r="G49">
        <v>1</v>
      </c>
      <c r="H49" t="s">
        <v>15</v>
      </c>
      <c r="I49" t="s">
        <v>16</v>
      </c>
      <c r="J49" t="s">
        <v>135</v>
      </c>
      <c r="L49" t="s">
        <v>18</v>
      </c>
      <c r="M49" t="s">
        <v>136</v>
      </c>
    </row>
    <row r="50" spans="2:13" x14ac:dyDescent="0.25">
      <c r="B50" t="s">
        <v>117</v>
      </c>
      <c r="C50">
        <v>18251908</v>
      </c>
      <c r="D50" t="str">
        <f>"4627078252481"</f>
        <v>4627078252481</v>
      </c>
      <c r="E50" t="s">
        <v>137</v>
      </c>
      <c r="F50" t="s">
        <v>21</v>
      </c>
      <c r="G50">
        <v>1</v>
      </c>
      <c r="H50" t="s">
        <v>15</v>
      </c>
      <c r="I50" t="s">
        <v>16</v>
      </c>
      <c r="J50" t="s">
        <v>135</v>
      </c>
      <c r="L50" t="s">
        <v>18</v>
      </c>
      <c r="M50" t="s">
        <v>138</v>
      </c>
    </row>
    <row r="51" spans="2:13" x14ac:dyDescent="0.25">
      <c r="B51" t="s">
        <v>117</v>
      </c>
      <c r="C51">
        <v>18251916</v>
      </c>
      <c r="D51" t="str">
        <f>"4627078252504"</f>
        <v>4627078252504</v>
      </c>
      <c r="E51" t="s">
        <v>139</v>
      </c>
      <c r="F51" t="s">
        <v>31</v>
      </c>
      <c r="G51">
        <v>1</v>
      </c>
      <c r="H51" t="s">
        <v>15</v>
      </c>
      <c r="I51" t="s">
        <v>16</v>
      </c>
      <c r="J51" t="s">
        <v>135</v>
      </c>
      <c r="L51" t="s">
        <v>18</v>
      </c>
      <c r="M51" t="s">
        <v>140</v>
      </c>
    </row>
    <row r="52" spans="2:13" x14ac:dyDescent="0.25">
      <c r="B52" t="s">
        <v>117</v>
      </c>
      <c r="C52">
        <v>18251975</v>
      </c>
      <c r="D52" t="str">
        <f>"4627078252399"</f>
        <v>4627078252399</v>
      </c>
      <c r="E52" t="s">
        <v>141</v>
      </c>
      <c r="F52" t="s">
        <v>24</v>
      </c>
      <c r="G52">
        <v>1</v>
      </c>
      <c r="H52" t="s">
        <v>15</v>
      </c>
      <c r="I52" t="s">
        <v>16</v>
      </c>
      <c r="J52" t="s">
        <v>135</v>
      </c>
      <c r="L52" t="s">
        <v>18</v>
      </c>
      <c r="M52" t="s">
        <v>142</v>
      </c>
    </row>
    <row r="53" spans="2:13" x14ac:dyDescent="0.25">
      <c r="B53" t="s">
        <v>143</v>
      </c>
      <c r="C53">
        <v>18121151</v>
      </c>
      <c r="D53" t="str">
        <f>"3276000244134"</f>
        <v>3276000244134</v>
      </c>
      <c r="E53" t="s">
        <v>144</v>
      </c>
      <c r="F53" t="s">
        <v>48</v>
      </c>
      <c r="G53">
        <v>1</v>
      </c>
      <c r="H53" t="s">
        <v>15</v>
      </c>
      <c r="I53" t="s">
        <v>16</v>
      </c>
      <c r="J53" t="s">
        <v>17</v>
      </c>
      <c r="L53" t="s">
        <v>18</v>
      </c>
      <c r="M53" t="s">
        <v>145</v>
      </c>
    </row>
    <row r="54" spans="2:13" x14ac:dyDescent="0.25">
      <c r="B54" t="s">
        <v>143</v>
      </c>
      <c r="C54">
        <v>18121169</v>
      </c>
      <c r="D54" t="str">
        <f>"3276000244103"</f>
        <v>3276000244103</v>
      </c>
      <c r="E54" t="s">
        <v>146</v>
      </c>
      <c r="F54" t="s">
        <v>27</v>
      </c>
      <c r="G54">
        <v>1</v>
      </c>
      <c r="H54" t="s">
        <v>15</v>
      </c>
      <c r="I54" t="s">
        <v>16</v>
      </c>
      <c r="J54" t="s">
        <v>17</v>
      </c>
      <c r="L54" t="s">
        <v>18</v>
      </c>
      <c r="M54" t="s">
        <v>147</v>
      </c>
    </row>
    <row r="55" spans="2:13" x14ac:dyDescent="0.25">
      <c r="B55" t="s">
        <v>143</v>
      </c>
      <c r="C55">
        <v>18121177</v>
      </c>
      <c r="D55" t="str">
        <f>"3276000244165"</f>
        <v>3276000244165</v>
      </c>
      <c r="E55" t="s">
        <v>148</v>
      </c>
      <c r="F55" t="s">
        <v>31</v>
      </c>
      <c r="G55">
        <v>1</v>
      </c>
      <c r="H55" t="s">
        <v>15</v>
      </c>
      <c r="I55" t="s">
        <v>16</v>
      </c>
      <c r="J55" t="s">
        <v>17</v>
      </c>
      <c r="L55" t="s">
        <v>18</v>
      </c>
      <c r="M55" t="s">
        <v>149</v>
      </c>
    </row>
    <row r="56" spans="2:13" x14ac:dyDescent="0.25">
      <c r="B56" t="s">
        <v>143</v>
      </c>
      <c r="C56">
        <v>18128580</v>
      </c>
      <c r="D56" t="str">
        <f>"3276000254157"</f>
        <v>3276000254157</v>
      </c>
      <c r="E56" t="s">
        <v>150</v>
      </c>
      <c r="F56" t="s">
        <v>48</v>
      </c>
      <c r="G56">
        <v>1</v>
      </c>
      <c r="H56" t="s">
        <v>15</v>
      </c>
      <c r="I56" t="s">
        <v>16</v>
      </c>
      <c r="J56" t="s">
        <v>17</v>
      </c>
      <c r="L56" t="s">
        <v>18</v>
      </c>
      <c r="M56" t="s">
        <v>151</v>
      </c>
    </row>
    <row r="57" spans="2:13" x14ac:dyDescent="0.25">
      <c r="B57" t="s">
        <v>143</v>
      </c>
      <c r="C57">
        <v>18128598</v>
      </c>
      <c r="D57" t="str">
        <f>"3276000254140"</f>
        <v>3276000254140</v>
      </c>
      <c r="E57" t="s">
        <v>152</v>
      </c>
      <c r="F57" t="s">
        <v>21</v>
      </c>
      <c r="G57">
        <v>1</v>
      </c>
      <c r="H57" t="s">
        <v>15</v>
      </c>
      <c r="I57" t="s">
        <v>16</v>
      </c>
      <c r="J57" t="s">
        <v>17</v>
      </c>
      <c r="L57" t="s">
        <v>18</v>
      </c>
      <c r="M57" t="s">
        <v>153</v>
      </c>
    </row>
    <row r="58" spans="2:13" x14ac:dyDescent="0.25">
      <c r="B58" t="s">
        <v>143</v>
      </c>
      <c r="C58">
        <v>18251924</v>
      </c>
      <c r="D58" t="str">
        <f>"4627078252429"</f>
        <v>4627078252429</v>
      </c>
      <c r="E58" t="s">
        <v>154</v>
      </c>
      <c r="F58" t="s">
        <v>31</v>
      </c>
      <c r="G58">
        <v>1</v>
      </c>
      <c r="H58" t="s">
        <v>15</v>
      </c>
      <c r="I58" t="s">
        <v>16</v>
      </c>
      <c r="J58" t="s">
        <v>135</v>
      </c>
      <c r="L58" t="s">
        <v>18</v>
      </c>
      <c r="M58" t="s">
        <v>155</v>
      </c>
    </row>
    <row r="59" spans="2:13" x14ac:dyDescent="0.25">
      <c r="B59" t="s">
        <v>143</v>
      </c>
      <c r="C59">
        <v>18251932</v>
      </c>
      <c r="D59" t="str">
        <f>"4627078252436"</f>
        <v>4627078252436</v>
      </c>
      <c r="E59" t="s">
        <v>156</v>
      </c>
      <c r="F59" t="s">
        <v>31</v>
      </c>
      <c r="G59">
        <v>1</v>
      </c>
      <c r="H59" t="s">
        <v>15</v>
      </c>
      <c r="I59" t="s">
        <v>16</v>
      </c>
      <c r="J59" t="s">
        <v>135</v>
      </c>
      <c r="L59" t="s">
        <v>18</v>
      </c>
      <c r="M59" t="s">
        <v>157</v>
      </c>
    </row>
    <row r="60" spans="2:13" x14ac:dyDescent="0.25">
      <c r="B60" t="s">
        <v>143</v>
      </c>
      <c r="C60">
        <v>18251941</v>
      </c>
      <c r="D60" t="str">
        <f>"4627078252443"</f>
        <v>4627078252443</v>
      </c>
      <c r="E60" t="s">
        <v>158</v>
      </c>
      <c r="F60" t="s">
        <v>31</v>
      </c>
      <c r="G60">
        <v>1</v>
      </c>
      <c r="H60" t="s">
        <v>15</v>
      </c>
      <c r="I60" t="s">
        <v>16</v>
      </c>
      <c r="J60" t="s">
        <v>135</v>
      </c>
      <c r="L60" t="s">
        <v>18</v>
      </c>
      <c r="M60" t="s">
        <v>159</v>
      </c>
    </row>
    <row r="61" spans="2:13" x14ac:dyDescent="0.25">
      <c r="B61" t="s">
        <v>160</v>
      </c>
      <c r="C61">
        <v>13147001</v>
      </c>
      <c r="D61" t="str">
        <f>"4620000140511"</f>
        <v>4620000140511</v>
      </c>
      <c r="E61" t="s">
        <v>161</v>
      </c>
      <c r="F61" t="s">
        <v>114</v>
      </c>
      <c r="G61">
        <v>1</v>
      </c>
      <c r="H61" t="s">
        <v>18</v>
      </c>
      <c r="I61" t="s">
        <v>16</v>
      </c>
      <c r="J61" t="s">
        <v>162</v>
      </c>
      <c r="L61" t="s">
        <v>18</v>
      </c>
      <c r="M61" t="s">
        <v>163</v>
      </c>
    </row>
    <row r="62" spans="2:13" x14ac:dyDescent="0.25">
      <c r="B62" t="s">
        <v>160</v>
      </c>
      <c r="C62">
        <v>13147028</v>
      </c>
      <c r="D62" t="str">
        <f>"4620000140528"</f>
        <v>4620000140528</v>
      </c>
      <c r="E62" t="s">
        <v>164</v>
      </c>
      <c r="F62" t="s">
        <v>165</v>
      </c>
      <c r="G62">
        <v>1</v>
      </c>
      <c r="H62" t="s">
        <v>18</v>
      </c>
      <c r="I62" t="s">
        <v>16</v>
      </c>
      <c r="J62" t="s">
        <v>162</v>
      </c>
      <c r="L62" t="s">
        <v>18</v>
      </c>
      <c r="M62" t="s">
        <v>163</v>
      </c>
    </row>
    <row r="63" spans="2:13" x14ac:dyDescent="0.25">
      <c r="B63" t="s">
        <v>160</v>
      </c>
      <c r="C63">
        <v>14089552</v>
      </c>
      <c r="D63" t="str">
        <f>"4810531094937"</f>
        <v>4810531094937</v>
      </c>
      <c r="E63" t="s">
        <v>166</v>
      </c>
      <c r="F63" t="s">
        <v>14</v>
      </c>
      <c r="G63">
        <v>1</v>
      </c>
      <c r="H63" t="s">
        <v>18</v>
      </c>
      <c r="I63" t="s">
        <v>16</v>
      </c>
      <c r="J63" t="s">
        <v>167</v>
      </c>
      <c r="L63" t="s">
        <v>18</v>
      </c>
      <c r="M63" t="s">
        <v>168</v>
      </c>
    </row>
    <row r="64" spans="2:13" x14ac:dyDescent="0.25">
      <c r="B64" t="s">
        <v>160</v>
      </c>
      <c r="C64">
        <v>14799124</v>
      </c>
      <c r="D64" t="str">
        <f>"4607019633838"</f>
        <v>4607019633838</v>
      </c>
      <c r="E64" t="s">
        <v>169</v>
      </c>
      <c r="F64" t="s">
        <v>170</v>
      </c>
      <c r="G64">
        <v>1</v>
      </c>
      <c r="H64" t="s">
        <v>18</v>
      </c>
      <c r="I64" t="s">
        <v>16</v>
      </c>
      <c r="J64" t="s">
        <v>171</v>
      </c>
      <c r="L64" t="s">
        <v>18</v>
      </c>
      <c r="M64" t="s">
        <v>172</v>
      </c>
    </row>
    <row r="65" spans="2:13" x14ac:dyDescent="0.25">
      <c r="B65" t="s">
        <v>160</v>
      </c>
      <c r="C65">
        <v>16095340</v>
      </c>
      <c r="D65" t="str">
        <f>"5907753201577"</f>
        <v>5907753201577</v>
      </c>
      <c r="E65" t="s">
        <v>173</v>
      </c>
      <c r="F65" t="s">
        <v>174</v>
      </c>
      <c r="G65">
        <v>1</v>
      </c>
      <c r="H65" t="s">
        <v>18</v>
      </c>
      <c r="I65" t="s">
        <v>16</v>
      </c>
      <c r="J65" t="s">
        <v>175</v>
      </c>
      <c r="L65" t="s">
        <v>18</v>
      </c>
      <c r="M65" t="s">
        <v>176</v>
      </c>
    </row>
    <row r="66" spans="2:13" x14ac:dyDescent="0.25">
      <c r="B66" t="s">
        <v>177</v>
      </c>
      <c r="C66">
        <v>13139976</v>
      </c>
      <c r="D66" t="str">
        <f>"3276000115359"</f>
        <v>3276000115359</v>
      </c>
      <c r="E66" t="s">
        <v>178</v>
      </c>
      <c r="F66" t="s">
        <v>24</v>
      </c>
      <c r="G66">
        <v>1</v>
      </c>
      <c r="H66" t="s">
        <v>18</v>
      </c>
      <c r="I66" t="s">
        <v>16</v>
      </c>
      <c r="J66" t="s">
        <v>17</v>
      </c>
      <c r="L66" t="s">
        <v>18</v>
      </c>
      <c r="M66" t="s">
        <v>179</v>
      </c>
    </row>
    <row r="67" spans="2:13" x14ac:dyDescent="0.25">
      <c r="B67" t="s">
        <v>180</v>
      </c>
      <c r="C67">
        <v>10022529</v>
      </c>
      <c r="D67" t="str">
        <f>"8414329612004"</f>
        <v>8414329612004</v>
      </c>
      <c r="E67" t="s">
        <v>181</v>
      </c>
      <c r="F67" t="s">
        <v>27</v>
      </c>
      <c r="G67">
        <v>1</v>
      </c>
      <c r="H67" t="s">
        <v>18</v>
      </c>
      <c r="I67" t="s">
        <v>51</v>
      </c>
      <c r="J67" t="s">
        <v>182</v>
      </c>
      <c r="L67" t="s">
        <v>18</v>
      </c>
      <c r="M67" t="s">
        <v>183</v>
      </c>
    </row>
    <row r="68" spans="2:13" x14ac:dyDescent="0.25">
      <c r="B68" t="s">
        <v>180</v>
      </c>
      <c r="C68">
        <v>12432660</v>
      </c>
      <c r="D68" t="str">
        <f>"4607019631339"</f>
        <v>4607019631339</v>
      </c>
      <c r="E68" t="s">
        <v>184</v>
      </c>
      <c r="F68" t="s">
        <v>185</v>
      </c>
      <c r="G68">
        <v>1</v>
      </c>
      <c r="H68" t="s">
        <v>18</v>
      </c>
      <c r="I68" t="s">
        <v>16</v>
      </c>
      <c r="J68" t="s">
        <v>171</v>
      </c>
      <c r="L68" t="s">
        <v>18</v>
      </c>
      <c r="M68" t="s">
        <v>186</v>
      </c>
    </row>
    <row r="69" spans="2:13" x14ac:dyDescent="0.25">
      <c r="B69" t="s">
        <v>180</v>
      </c>
      <c r="C69">
        <v>12432724</v>
      </c>
      <c r="D69" t="str">
        <f>"4607019631353"</f>
        <v>4607019631353</v>
      </c>
      <c r="E69" t="s">
        <v>187</v>
      </c>
      <c r="F69" t="s">
        <v>188</v>
      </c>
      <c r="G69">
        <v>1</v>
      </c>
      <c r="H69" t="s">
        <v>18</v>
      </c>
      <c r="I69" t="s">
        <v>16</v>
      </c>
      <c r="J69" t="s">
        <v>171</v>
      </c>
      <c r="L69" t="s">
        <v>18</v>
      </c>
      <c r="M69" t="s">
        <v>189</v>
      </c>
    </row>
    <row r="70" spans="2:13" x14ac:dyDescent="0.25">
      <c r="B70" t="s">
        <v>180</v>
      </c>
      <c r="C70">
        <v>13134155</v>
      </c>
      <c r="D70" t="str">
        <f>"3276000126737"</f>
        <v>3276000126737</v>
      </c>
      <c r="E70" t="s">
        <v>190</v>
      </c>
      <c r="F70" t="s">
        <v>191</v>
      </c>
      <c r="G70">
        <v>1</v>
      </c>
      <c r="H70" t="s">
        <v>18</v>
      </c>
      <c r="I70" t="s">
        <v>16</v>
      </c>
      <c r="J70" t="s">
        <v>17</v>
      </c>
      <c r="L70" t="s">
        <v>18</v>
      </c>
      <c r="M70" t="s">
        <v>192</v>
      </c>
    </row>
    <row r="71" spans="2:13" x14ac:dyDescent="0.25">
      <c r="B71" t="s">
        <v>180</v>
      </c>
      <c r="C71">
        <v>13135908</v>
      </c>
      <c r="D71" t="str">
        <f>"3351840569378"</f>
        <v>3351840569378</v>
      </c>
      <c r="E71" t="s">
        <v>193</v>
      </c>
      <c r="F71" t="s">
        <v>194</v>
      </c>
      <c r="G71">
        <v>1</v>
      </c>
      <c r="H71" t="s">
        <v>18</v>
      </c>
      <c r="I71" t="s">
        <v>16</v>
      </c>
      <c r="J71" t="s">
        <v>17</v>
      </c>
      <c r="L71" t="s">
        <v>18</v>
      </c>
      <c r="M71" t="s">
        <v>195</v>
      </c>
    </row>
    <row r="72" spans="2:13" x14ac:dyDescent="0.25">
      <c r="B72" t="s">
        <v>180</v>
      </c>
      <c r="C72">
        <v>13139941</v>
      </c>
      <c r="D72" t="str">
        <f>"3599490015436"</f>
        <v>3599490015436</v>
      </c>
      <c r="E72" t="s">
        <v>196</v>
      </c>
      <c r="F72" t="s">
        <v>43</v>
      </c>
      <c r="G72">
        <v>1</v>
      </c>
      <c r="H72" t="s">
        <v>18</v>
      </c>
      <c r="I72" t="s">
        <v>16</v>
      </c>
      <c r="J72" t="s">
        <v>17</v>
      </c>
      <c r="L72" t="s">
        <v>18</v>
      </c>
      <c r="M72" t="s">
        <v>197</v>
      </c>
    </row>
    <row r="73" spans="2:13" x14ac:dyDescent="0.25">
      <c r="B73" t="s">
        <v>180</v>
      </c>
      <c r="C73">
        <v>13224986</v>
      </c>
      <c r="D73" t="str">
        <f>"4607019635085"</f>
        <v>4607019635085</v>
      </c>
      <c r="E73" t="s">
        <v>198</v>
      </c>
      <c r="F73" t="s">
        <v>194</v>
      </c>
      <c r="G73">
        <v>1</v>
      </c>
      <c r="H73" t="s">
        <v>18</v>
      </c>
      <c r="I73" t="s">
        <v>16</v>
      </c>
      <c r="J73" t="s">
        <v>171</v>
      </c>
      <c r="L73" t="s">
        <v>18</v>
      </c>
      <c r="M73" t="s">
        <v>199</v>
      </c>
    </row>
    <row r="74" spans="2:13" x14ac:dyDescent="0.25">
      <c r="B74" t="s">
        <v>180</v>
      </c>
      <c r="C74">
        <v>14523304</v>
      </c>
      <c r="D74" t="str">
        <f>"4690311025395"</f>
        <v>4690311025395</v>
      </c>
      <c r="E74" t="s">
        <v>200</v>
      </c>
      <c r="F74" t="s">
        <v>109</v>
      </c>
      <c r="G74">
        <v>1</v>
      </c>
      <c r="H74" t="s">
        <v>18</v>
      </c>
      <c r="I74" t="s">
        <v>16</v>
      </c>
      <c r="J74" t="s">
        <v>175</v>
      </c>
      <c r="L74" t="s">
        <v>18</v>
      </c>
      <c r="M74" t="s">
        <v>201</v>
      </c>
    </row>
    <row r="75" spans="2:13" x14ac:dyDescent="0.25">
      <c r="B75" t="s">
        <v>180</v>
      </c>
      <c r="C75">
        <v>14722291</v>
      </c>
      <c r="D75" t="str">
        <f>"4620000144694"</f>
        <v>4620000144694</v>
      </c>
      <c r="E75" t="s">
        <v>202</v>
      </c>
      <c r="F75" t="s">
        <v>114</v>
      </c>
      <c r="G75">
        <v>1</v>
      </c>
      <c r="H75" t="s">
        <v>18</v>
      </c>
      <c r="I75" t="s">
        <v>16</v>
      </c>
      <c r="J75" t="s">
        <v>162</v>
      </c>
      <c r="L75" t="s">
        <v>18</v>
      </c>
      <c r="M75" t="s">
        <v>203</v>
      </c>
    </row>
    <row r="76" spans="2:13" x14ac:dyDescent="0.25">
      <c r="B76" t="s">
        <v>180</v>
      </c>
      <c r="C76">
        <v>14722303</v>
      </c>
      <c r="D76" t="str">
        <f>"4620000148388"</f>
        <v>4620000148388</v>
      </c>
      <c r="E76" t="s">
        <v>204</v>
      </c>
      <c r="F76" t="s">
        <v>205</v>
      </c>
      <c r="G76">
        <v>1</v>
      </c>
      <c r="H76" t="s">
        <v>18</v>
      </c>
      <c r="I76" t="s">
        <v>16</v>
      </c>
      <c r="J76" t="s">
        <v>162</v>
      </c>
      <c r="L76" t="s">
        <v>18</v>
      </c>
      <c r="M76" t="s">
        <v>206</v>
      </c>
    </row>
    <row r="77" spans="2:13" x14ac:dyDescent="0.25">
      <c r="B77" t="s">
        <v>180</v>
      </c>
      <c r="C77">
        <v>14971300</v>
      </c>
      <c r="D77" t="str">
        <f>"4690311025388"</f>
        <v>4690311025388</v>
      </c>
      <c r="E77" t="s">
        <v>207</v>
      </c>
      <c r="F77" t="s">
        <v>34</v>
      </c>
      <c r="G77">
        <v>1</v>
      </c>
      <c r="H77" t="s">
        <v>18</v>
      </c>
      <c r="I77" t="s">
        <v>16</v>
      </c>
      <c r="J77" t="s">
        <v>175</v>
      </c>
      <c r="L77" t="s">
        <v>18</v>
      </c>
      <c r="M77" t="s">
        <v>208</v>
      </c>
    </row>
    <row r="78" spans="2:13" x14ac:dyDescent="0.25">
      <c r="B78" t="s">
        <v>180</v>
      </c>
      <c r="C78">
        <v>15132364</v>
      </c>
      <c r="D78" t="str">
        <f>"4690311045423"</f>
        <v>4690311045423</v>
      </c>
      <c r="E78" t="s">
        <v>209</v>
      </c>
      <c r="F78" t="s">
        <v>14</v>
      </c>
      <c r="G78">
        <v>1</v>
      </c>
      <c r="H78" t="s">
        <v>18</v>
      </c>
      <c r="I78" t="s">
        <v>16</v>
      </c>
      <c r="J78" t="s">
        <v>175</v>
      </c>
      <c r="L78" t="s">
        <v>18</v>
      </c>
      <c r="M78" t="s">
        <v>210</v>
      </c>
    </row>
    <row r="79" spans="2:13" x14ac:dyDescent="0.25">
      <c r="B79" t="s">
        <v>180</v>
      </c>
      <c r="C79">
        <v>15499959</v>
      </c>
      <c r="D79" t="str">
        <f>"4607168205696"</f>
        <v>4607168205696</v>
      </c>
      <c r="E79" t="s">
        <v>211</v>
      </c>
      <c r="F79" t="s">
        <v>212</v>
      </c>
      <c r="G79">
        <v>1</v>
      </c>
      <c r="H79" t="s">
        <v>18</v>
      </c>
      <c r="I79" t="s">
        <v>16</v>
      </c>
      <c r="J79" t="s">
        <v>213</v>
      </c>
      <c r="L79" t="s">
        <v>18</v>
      </c>
      <c r="M79" t="s">
        <v>214</v>
      </c>
    </row>
    <row r="80" spans="2:13" x14ac:dyDescent="0.25">
      <c r="B80" t="s">
        <v>215</v>
      </c>
      <c r="C80">
        <v>13134120</v>
      </c>
      <c r="D80" t="str">
        <f>"3276000115441"</f>
        <v>3276000115441</v>
      </c>
      <c r="E80" t="s">
        <v>216</v>
      </c>
      <c r="F80" t="s">
        <v>43</v>
      </c>
      <c r="G80">
        <v>1</v>
      </c>
      <c r="H80" t="s">
        <v>18</v>
      </c>
      <c r="I80" t="s">
        <v>16</v>
      </c>
      <c r="J80" t="s">
        <v>17</v>
      </c>
      <c r="L80" t="s">
        <v>18</v>
      </c>
      <c r="M80" t="s">
        <v>217</v>
      </c>
    </row>
    <row r="81" spans="2:13" x14ac:dyDescent="0.25">
      <c r="B81" t="s">
        <v>215</v>
      </c>
      <c r="C81">
        <v>13140002</v>
      </c>
      <c r="D81" t="str">
        <f>"3276004001375"</f>
        <v>3276004001375</v>
      </c>
      <c r="E81" t="s">
        <v>218</v>
      </c>
      <c r="F81" t="s">
        <v>31</v>
      </c>
      <c r="G81">
        <v>1</v>
      </c>
      <c r="H81" t="s">
        <v>18</v>
      </c>
      <c r="I81" t="s">
        <v>16</v>
      </c>
      <c r="J81" t="s">
        <v>17</v>
      </c>
      <c r="L81" t="s">
        <v>18</v>
      </c>
      <c r="M81" t="s">
        <v>219</v>
      </c>
    </row>
    <row r="82" spans="2:13" x14ac:dyDescent="0.25">
      <c r="B82" t="s">
        <v>215</v>
      </c>
      <c r="C82">
        <v>16089290</v>
      </c>
      <c r="D82" t="str">
        <f>"3800828022584"</f>
        <v>3800828022584</v>
      </c>
      <c r="E82" t="s">
        <v>220</v>
      </c>
      <c r="F82" t="s">
        <v>21</v>
      </c>
      <c r="G82">
        <v>1</v>
      </c>
      <c r="H82" t="s">
        <v>18</v>
      </c>
      <c r="I82" t="s">
        <v>16</v>
      </c>
      <c r="J82" t="s">
        <v>221</v>
      </c>
      <c r="L82" t="s">
        <v>18</v>
      </c>
      <c r="M82" t="s">
        <v>222</v>
      </c>
    </row>
    <row r="83" spans="2:13" x14ac:dyDescent="0.25">
      <c r="B83" t="s">
        <v>215</v>
      </c>
      <c r="C83">
        <v>49072030</v>
      </c>
      <c r="E83" t="s">
        <v>223</v>
      </c>
      <c r="G83">
        <v>1</v>
      </c>
      <c r="H83" t="s">
        <v>18</v>
      </c>
      <c r="I83" t="s">
        <v>16</v>
      </c>
      <c r="L83" t="s">
        <v>18</v>
      </c>
      <c r="M83" t="s">
        <v>224</v>
      </c>
    </row>
    <row r="84" spans="2:13" x14ac:dyDescent="0.25">
      <c r="B84" t="s">
        <v>225</v>
      </c>
      <c r="C84">
        <v>14106885</v>
      </c>
      <c r="D84" t="str">
        <f>"4690311022943"</f>
        <v>4690311022943</v>
      </c>
      <c r="E84" t="s">
        <v>226</v>
      </c>
      <c r="F84" t="s">
        <v>227</v>
      </c>
      <c r="G84">
        <v>1</v>
      </c>
      <c r="H84" t="s">
        <v>18</v>
      </c>
      <c r="I84" t="s">
        <v>51</v>
      </c>
      <c r="J84" t="s">
        <v>175</v>
      </c>
      <c r="L84" t="s">
        <v>18</v>
      </c>
      <c r="M84" t="s">
        <v>228</v>
      </c>
    </row>
    <row r="85" spans="2:13" x14ac:dyDescent="0.25">
      <c r="B85" t="s">
        <v>225</v>
      </c>
      <c r="C85">
        <v>15499967</v>
      </c>
      <c r="D85" t="str">
        <f>"4607168205702"</f>
        <v>4607168205702</v>
      </c>
      <c r="E85" t="s">
        <v>229</v>
      </c>
      <c r="F85" t="s">
        <v>230</v>
      </c>
      <c r="G85">
        <v>1</v>
      </c>
      <c r="H85" t="s">
        <v>18</v>
      </c>
      <c r="I85" t="s">
        <v>16</v>
      </c>
      <c r="J85" t="s">
        <v>213</v>
      </c>
      <c r="L85" t="s">
        <v>18</v>
      </c>
      <c r="M85" t="s">
        <v>231</v>
      </c>
    </row>
    <row r="86" spans="2:13" x14ac:dyDescent="0.25">
      <c r="B86" t="s">
        <v>225</v>
      </c>
      <c r="C86">
        <v>16089302</v>
      </c>
      <c r="D86" t="str">
        <f>"3800828022898"</f>
        <v>3800828022898</v>
      </c>
      <c r="E86" t="s">
        <v>232</v>
      </c>
      <c r="F86" t="s">
        <v>109</v>
      </c>
      <c r="G86">
        <v>1</v>
      </c>
      <c r="H86" t="s">
        <v>18</v>
      </c>
      <c r="I86" t="s">
        <v>16</v>
      </c>
      <c r="J86" t="s">
        <v>221</v>
      </c>
      <c r="L86" t="s">
        <v>18</v>
      </c>
      <c r="M86" t="s">
        <v>233</v>
      </c>
    </row>
    <row r="87" spans="2:13" x14ac:dyDescent="0.25">
      <c r="B87" t="s">
        <v>234</v>
      </c>
      <c r="C87">
        <v>12432476</v>
      </c>
      <c r="D87" t="str">
        <f>"4607152360240"</f>
        <v>4607152360240</v>
      </c>
      <c r="E87" t="s">
        <v>235</v>
      </c>
      <c r="F87" t="s">
        <v>24</v>
      </c>
      <c r="G87">
        <v>1</v>
      </c>
      <c r="H87" t="s">
        <v>18</v>
      </c>
      <c r="I87" t="s">
        <v>16</v>
      </c>
      <c r="J87" t="s">
        <v>236</v>
      </c>
      <c r="L87" t="s">
        <v>18</v>
      </c>
      <c r="M87" t="s">
        <v>237</v>
      </c>
    </row>
    <row r="88" spans="2:13" x14ac:dyDescent="0.25">
      <c r="B88" t="s">
        <v>234</v>
      </c>
      <c r="C88">
        <v>18657801</v>
      </c>
      <c r="D88" t="str">
        <f>"4640026260123"</f>
        <v>4640026260123</v>
      </c>
      <c r="E88" t="s">
        <v>238</v>
      </c>
      <c r="F88" t="s">
        <v>194</v>
      </c>
      <c r="G88">
        <v>1</v>
      </c>
      <c r="H88" t="s">
        <v>18</v>
      </c>
      <c r="I88" t="s">
        <v>16</v>
      </c>
      <c r="J88" t="s">
        <v>239</v>
      </c>
      <c r="L88" t="s">
        <v>18</v>
      </c>
      <c r="M88" t="s">
        <v>240</v>
      </c>
    </row>
    <row r="89" spans="2:13" x14ac:dyDescent="0.25">
      <c r="B89" t="s">
        <v>234</v>
      </c>
      <c r="C89">
        <v>18657810</v>
      </c>
      <c r="D89" t="str">
        <f>"4640026260116"</f>
        <v>4640026260116</v>
      </c>
      <c r="E89" t="s">
        <v>241</v>
      </c>
      <c r="F89" t="s">
        <v>194</v>
      </c>
      <c r="G89">
        <v>1</v>
      </c>
      <c r="H89" t="s">
        <v>18</v>
      </c>
      <c r="I89" t="s">
        <v>16</v>
      </c>
      <c r="J89" t="s">
        <v>239</v>
      </c>
      <c r="L89" t="s">
        <v>18</v>
      </c>
      <c r="M89" t="s">
        <v>242</v>
      </c>
    </row>
    <row r="90" spans="2:13" x14ac:dyDescent="0.25">
      <c r="B90" t="s">
        <v>243</v>
      </c>
      <c r="C90">
        <v>12432644</v>
      </c>
      <c r="D90" t="str">
        <f>"4607019632589"</f>
        <v>4607019632589</v>
      </c>
      <c r="E90" t="s">
        <v>244</v>
      </c>
      <c r="F90" t="s">
        <v>240</v>
      </c>
      <c r="G90">
        <v>1</v>
      </c>
      <c r="H90" t="s">
        <v>18</v>
      </c>
      <c r="I90" t="s">
        <v>16</v>
      </c>
      <c r="J90" t="s">
        <v>171</v>
      </c>
      <c r="L90" t="s">
        <v>18</v>
      </c>
      <c r="M90" t="s">
        <v>245</v>
      </c>
    </row>
    <row r="91" spans="2:13" x14ac:dyDescent="0.25">
      <c r="B91" t="s">
        <v>243</v>
      </c>
      <c r="C91">
        <v>12432695</v>
      </c>
      <c r="D91" t="str">
        <f>"4607019630080"</f>
        <v>4607019630080</v>
      </c>
      <c r="E91" t="s">
        <v>246</v>
      </c>
      <c r="F91" t="s">
        <v>247</v>
      </c>
      <c r="G91">
        <v>1</v>
      </c>
      <c r="H91" t="s">
        <v>18</v>
      </c>
      <c r="I91" t="s">
        <v>16</v>
      </c>
      <c r="J91" t="s">
        <v>171</v>
      </c>
      <c r="L91" t="s">
        <v>18</v>
      </c>
      <c r="M91" t="s">
        <v>248</v>
      </c>
    </row>
    <row r="92" spans="2:13" x14ac:dyDescent="0.25">
      <c r="B92" t="s">
        <v>243</v>
      </c>
      <c r="C92">
        <v>13225006</v>
      </c>
      <c r="D92" t="str">
        <f>"4607019635115"</f>
        <v>4607019635115</v>
      </c>
      <c r="E92" t="s">
        <v>249</v>
      </c>
      <c r="F92" t="s">
        <v>34</v>
      </c>
      <c r="G92">
        <v>1</v>
      </c>
      <c r="H92" t="s">
        <v>18</v>
      </c>
      <c r="I92" t="s">
        <v>51</v>
      </c>
      <c r="J92" t="s">
        <v>171</v>
      </c>
      <c r="L92" t="s">
        <v>18</v>
      </c>
      <c r="M92" t="s">
        <v>250</v>
      </c>
    </row>
    <row r="93" spans="2:13" x14ac:dyDescent="0.25">
      <c r="B93" t="s">
        <v>243</v>
      </c>
      <c r="C93">
        <v>13452110</v>
      </c>
      <c r="D93" t="str">
        <f>"4607152360356"</f>
        <v>4607152360356</v>
      </c>
      <c r="E93" t="s">
        <v>251</v>
      </c>
      <c r="F93" t="s">
        <v>252</v>
      </c>
      <c r="G93">
        <v>1</v>
      </c>
      <c r="H93" t="s">
        <v>18</v>
      </c>
      <c r="I93" t="s">
        <v>16</v>
      </c>
      <c r="J93" t="s">
        <v>236</v>
      </c>
      <c r="L93" t="s">
        <v>18</v>
      </c>
      <c r="M93" t="s">
        <v>253</v>
      </c>
    </row>
    <row r="94" spans="2:13" x14ac:dyDescent="0.25">
      <c r="B94" t="s">
        <v>254</v>
      </c>
      <c r="C94">
        <v>13134286</v>
      </c>
      <c r="D94" t="str">
        <f>"3276000126591"</f>
        <v>3276000126591</v>
      </c>
      <c r="E94" t="s">
        <v>255</v>
      </c>
      <c r="F94" t="s">
        <v>34</v>
      </c>
      <c r="G94">
        <v>0</v>
      </c>
      <c r="H94" t="s">
        <v>18</v>
      </c>
      <c r="I94" t="s">
        <v>16</v>
      </c>
      <c r="J94" t="s">
        <v>17</v>
      </c>
      <c r="L94" t="s">
        <v>18</v>
      </c>
      <c r="M94" t="s">
        <v>256</v>
      </c>
    </row>
    <row r="95" spans="2:13" x14ac:dyDescent="0.25">
      <c r="B95" t="s">
        <v>257</v>
      </c>
      <c r="C95">
        <v>16826309</v>
      </c>
      <c r="D95" t="str">
        <f>"3276005678897"</f>
        <v>3276005678897</v>
      </c>
      <c r="E95" t="s">
        <v>258</v>
      </c>
      <c r="F95" t="s">
        <v>14</v>
      </c>
      <c r="G95">
        <v>1</v>
      </c>
      <c r="H95" t="s">
        <v>18</v>
      </c>
      <c r="I95" t="s">
        <v>16</v>
      </c>
      <c r="J95" t="s">
        <v>17</v>
      </c>
      <c r="L95" t="s">
        <v>18</v>
      </c>
      <c r="M95" t="s">
        <v>259</v>
      </c>
    </row>
    <row r="96" spans="2:13" x14ac:dyDescent="0.25">
      <c r="B96" t="s">
        <v>257</v>
      </c>
      <c r="C96">
        <v>16826317</v>
      </c>
      <c r="D96" t="str">
        <f>"3276005761926"</f>
        <v>3276005761926</v>
      </c>
      <c r="E96" t="s">
        <v>260</v>
      </c>
      <c r="F96" t="s">
        <v>14</v>
      </c>
      <c r="G96">
        <v>1</v>
      </c>
      <c r="H96" t="s">
        <v>18</v>
      </c>
      <c r="I96" t="s">
        <v>16</v>
      </c>
      <c r="J96" t="s">
        <v>17</v>
      </c>
      <c r="L96" t="s">
        <v>18</v>
      </c>
      <c r="M96" t="s">
        <v>261</v>
      </c>
    </row>
    <row r="97" spans="2:13" x14ac:dyDescent="0.25">
      <c r="B97" t="s">
        <v>257</v>
      </c>
      <c r="C97">
        <v>16826325</v>
      </c>
      <c r="D97" t="str">
        <f>"3276005761865"</f>
        <v>3276005761865</v>
      </c>
      <c r="E97" t="s">
        <v>262</v>
      </c>
      <c r="F97" t="s">
        <v>27</v>
      </c>
      <c r="G97">
        <v>1</v>
      </c>
      <c r="H97" t="s">
        <v>18</v>
      </c>
      <c r="I97" t="s">
        <v>16</v>
      </c>
      <c r="J97" t="s">
        <v>17</v>
      </c>
      <c r="L97" t="s">
        <v>18</v>
      </c>
      <c r="M97" t="s">
        <v>263</v>
      </c>
    </row>
    <row r="98" spans="2:13" x14ac:dyDescent="0.25">
      <c r="B98" t="s">
        <v>257</v>
      </c>
      <c r="C98">
        <v>16980293</v>
      </c>
      <c r="D98" t="str">
        <f>"3276005767386"</f>
        <v>3276005767386</v>
      </c>
      <c r="E98" t="s">
        <v>264</v>
      </c>
      <c r="F98" t="s">
        <v>27</v>
      </c>
      <c r="G98">
        <v>1</v>
      </c>
      <c r="H98" t="s">
        <v>18</v>
      </c>
      <c r="I98" t="s">
        <v>16</v>
      </c>
      <c r="J98" t="s">
        <v>17</v>
      </c>
      <c r="L98" t="s">
        <v>18</v>
      </c>
      <c r="M98" t="s">
        <v>265</v>
      </c>
    </row>
    <row r="99" spans="2:13" x14ac:dyDescent="0.25">
      <c r="B99" t="s">
        <v>266</v>
      </c>
      <c r="C99">
        <v>17357305</v>
      </c>
      <c r="D99" t="str">
        <f>"4640008394303"</f>
        <v>4640008394303</v>
      </c>
      <c r="E99" t="s">
        <v>267</v>
      </c>
      <c r="F99" t="s">
        <v>268</v>
      </c>
      <c r="G99">
        <v>1</v>
      </c>
      <c r="H99" t="s">
        <v>18</v>
      </c>
      <c r="I99" t="s">
        <v>16</v>
      </c>
      <c r="J99" t="s">
        <v>269</v>
      </c>
      <c r="L99" t="s">
        <v>18</v>
      </c>
      <c r="M99" t="s">
        <v>270</v>
      </c>
    </row>
    <row r="100" spans="2:13" x14ac:dyDescent="0.25">
      <c r="B100" t="s">
        <v>266</v>
      </c>
      <c r="C100">
        <v>17359343</v>
      </c>
      <c r="D100" t="str">
        <f>"3276005834408"</f>
        <v>3276005834408</v>
      </c>
      <c r="E100" t="s">
        <v>271</v>
      </c>
      <c r="F100" t="s">
        <v>34</v>
      </c>
      <c r="G100">
        <v>1</v>
      </c>
      <c r="H100" t="s">
        <v>18</v>
      </c>
      <c r="I100" t="s">
        <v>16</v>
      </c>
      <c r="J100" t="s">
        <v>28</v>
      </c>
      <c r="L100" t="s">
        <v>18</v>
      </c>
      <c r="M100" t="s">
        <v>272</v>
      </c>
    </row>
    <row r="101" spans="2:13" x14ac:dyDescent="0.25">
      <c r="B101" t="s">
        <v>266</v>
      </c>
      <c r="C101">
        <v>17359360</v>
      </c>
      <c r="D101" t="str">
        <f>"3276005834361"</f>
        <v>3276005834361</v>
      </c>
      <c r="E101" t="s">
        <v>273</v>
      </c>
      <c r="F101" t="s">
        <v>14</v>
      </c>
      <c r="G101">
        <v>1</v>
      </c>
      <c r="H101" t="s">
        <v>18</v>
      </c>
      <c r="I101" t="s">
        <v>16</v>
      </c>
      <c r="J101" t="s">
        <v>28</v>
      </c>
      <c r="L101" t="s">
        <v>18</v>
      </c>
      <c r="M101" t="s">
        <v>272</v>
      </c>
    </row>
    <row r="102" spans="2:13" x14ac:dyDescent="0.25">
      <c r="B102" t="s">
        <v>266</v>
      </c>
      <c r="C102">
        <v>17359378</v>
      </c>
      <c r="D102" t="str">
        <f>"3276005834323"</f>
        <v>3276005834323</v>
      </c>
      <c r="E102" t="s">
        <v>274</v>
      </c>
      <c r="F102" t="s">
        <v>194</v>
      </c>
      <c r="G102">
        <v>1</v>
      </c>
      <c r="H102" t="s">
        <v>18</v>
      </c>
      <c r="I102" t="s">
        <v>16</v>
      </c>
      <c r="J102" t="s">
        <v>28</v>
      </c>
      <c r="L102" t="s">
        <v>18</v>
      </c>
      <c r="M102" t="s">
        <v>275</v>
      </c>
    </row>
    <row r="103" spans="2:13" x14ac:dyDescent="0.25">
      <c r="B103" t="s">
        <v>266</v>
      </c>
      <c r="C103">
        <v>17360424</v>
      </c>
      <c r="D103" t="str">
        <f>"3276005809093"</f>
        <v>3276005809093</v>
      </c>
      <c r="E103" t="s">
        <v>276</v>
      </c>
      <c r="F103" t="s">
        <v>277</v>
      </c>
      <c r="G103">
        <v>1</v>
      </c>
      <c r="H103" t="s">
        <v>18</v>
      </c>
      <c r="I103" t="s">
        <v>16</v>
      </c>
      <c r="J103" t="s">
        <v>28</v>
      </c>
      <c r="L103" t="s">
        <v>18</v>
      </c>
      <c r="M103" t="s">
        <v>278</v>
      </c>
    </row>
    <row r="104" spans="2:13" x14ac:dyDescent="0.25">
      <c r="B104" t="s">
        <v>266</v>
      </c>
      <c r="C104">
        <v>17360432</v>
      </c>
      <c r="D104" t="str">
        <f>"3276005809055"</f>
        <v>3276005809055</v>
      </c>
      <c r="E104" t="s">
        <v>279</v>
      </c>
      <c r="F104" t="s">
        <v>21</v>
      </c>
      <c r="G104">
        <v>1</v>
      </c>
      <c r="H104" t="s">
        <v>18</v>
      </c>
      <c r="I104" t="s">
        <v>16</v>
      </c>
      <c r="J104" t="s">
        <v>28</v>
      </c>
      <c r="L104" t="s">
        <v>18</v>
      </c>
      <c r="M104" t="s">
        <v>280</v>
      </c>
    </row>
    <row r="105" spans="2:13" x14ac:dyDescent="0.25">
      <c r="B105" t="s">
        <v>266</v>
      </c>
      <c r="C105">
        <v>17630498</v>
      </c>
      <c r="D105" t="str">
        <f>"4640008394662"</f>
        <v>4640008394662</v>
      </c>
      <c r="E105" t="s">
        <v>281</v>
      </c>
      <c r="F105" t="s">
        <v>21</v>
      </c>
      <c r="G105">
        <v>1</v>
      </c>
      <c r="H105" t="s">
        <v>18</v>
      </c>
      <c r="I105" t="s">
        <v>51</v>
      </c>
      <c r="J105" t="s">
        <v>269</v>
      </c>
      <c r="L105" t="s">
        <v>18</v>
      </c>
      <c r="M105" t="s">
        <v>282</v>
      </c>
    </row>
    <row r="106" spans="2:13" x14ac:dyDescent="0.25">
      <c r="B106" t="s">
        <v>283</v>
      </c>
      <c r="C106">
        <v>10280210</v>
      </c>
      <c r="D106" t="str">
        <f>"7391530051062"</f>
        <v>7391530051062</v>
      </c>
      <c r="E106" t="s">
        <v>284</v>
      </c>
      <c r="F106" t="s">
        <v>285</v>
      </c>
      <c r="G106">
        <v>0</v>
      </c>
      <c r="H106" t="s">
        <v>18</v>
      </c>
      <c r="I106" t="s">
        <v>16</v>
      </c>
      <c r="J106" t="s">
        <v>286</v>
      </c>
      <c r="K106" s="1">
        <v>42970</v>
      </c>
      <c r="L106" t="s">
        <v>18</v>
      </c>
      <c r="M106" t="s">
        <v>287</v>
      </c>
    </row>
    <row r="107" spans="2:13" x14ac:dyDescent="0.25">
      <c r="B107" t="s">
        <v>283</v>
      </c>
      <c r="C107">
        <v>11534497</v>
      </c>
      <c r="D107" t="str">
        <f>"4051202233525"</f>
        <v>4051202233525</v>
      </c>
      <c r="E107" t="s">
        <v>288</v>
      </c>
      <c r="F107" t="s">
        <v>31</v>
      </c>
      <c r="G107">
        <v>0</v>
      </c>
      <c r="H107" t="s">
        <v>18</v>
      </c>
      <c r="I107" t="s">
        <v>16</v>
      </c>
      <c r="J107" t="s">
        <v>286</v>
      </c>
      <c r="L107" t="s">
        <v>18</v>
      </c>
      <c r="M107" t="s">
        <v>289</v>
      </c>
    </row>
    <row r="108" spans="2:13" x14ac:dyDescent="0.25">
      <c r="B108" t="s">
        <v>283</v>
      </c>
      <c r="C108">
        <v>13388462</v>
      </c>
      <c r="D108" t="str">
        <f>"4690311009760"</f>
        <v>4690311009760</v>
      </c>
      <c r="E108" t="s">
        <v>290</v>
      </c>
      <c r="F108" t="s">
        <v>268</v>
      </c>
      <c r="G108">
        <v>1</v>
      </c>
      <c r="H108" t="s">
        <v>18</v>
      </c>
      <c r="I108" t="s">
        <v>51</v>
      </c>
      <c r="J108" t="s">
        <v>175</v>
      </c>
      <c r="L108" t="s">
        <v>18</v>
      </c>
      <c r="M108" t="s">
        <v>291</v>
      </c>
    </row>
    <row r="109" spans="2:13" x14ac:dyDescent="0.25">
      <c r="B109" t="s">
        <v>283</v>
      </c>
      <c r="C109">
        <v>13644489</v>
      </c>
      <c r="D109" t="str">
        <f>"4051343029520"</f>
        <v>4051343029520</v>
      </c>
      <c r="E109" t="s">
        <v>292</v>
      </c>
      <c r="F109" t="s">
        <v>268</v>
      </c>
      <c r="G109">
        <v>1</v>
      </c>
      <c r="H109" t="s">
        <v>18</v>
      </c>
      <c r="I109" t="s">
        <v>16</v>
      </c>
      <c r="J109" t="s">
        <v>52</v>
      </c>
      <c r="L109" t="s">
        <v>18</v>
      </c>
      <c r="M109" t="s">
        <v>293</v>
      </c>
    </row>
    <row r="110" spans="2:13" x14ac:dyDescent="0.25">
      <c r="B110" t="s">
        <v>283</v>
      </c>
      <c r="C110">
        <v>14032636</v>
      </c>
      <c r="D110" t="str">
        <f>"4690311019042"</f>
        <v>4690311019042</v>
      </c>
      <c r="E110" t="s">
        <v>294</v>
      </c>
      <c r="F110" t="s">
        <v>295</v>
      </c>
      <c r="G110">
        <v>1</v>
      </c>
      <c r="H110" t="s">
        <v>18</v>
      </c>
      <c r="I110" t="s">
        <v>16</v>
      </c>
      <c r="J110" t="s">
        <v>175</v>
      </c>
      <c r="L110" t="s">
        <v>18</v>
      </c>
      <c r="M110" t="s">
        <v>296</v>
      </c>
    </row>
    <row r="111" spans="2:13" x14ac:dyDescent="0.25">
      <c r="B111" t="s">
        <v>283</v>
      </c>
      <c r="C111">
        <v>17988174</v>
      </c>
      <c r="D111" t="str">
        <f>"4610018184225"</f>
        <v>4610018184225</v>
      </c>
      <c r="E111" t="s">
        <v>297</v>
      </c>
      <c r="F111" t="s">
        <v>191</v>
      </c>
      <c r="G111">
        <v>1</v>
      </c>
      <c r="H111" t="s">
        <v>18</v>
      </c>
      <c r="I111" t="s">
        <v>16</v>
      </c>
      <c r="J111" t="s">
        <v>171</v>
      </c>
      <c r="L111" t="s">
        <v>18</v>
      </c>
      <c r="M111" t="s">
        <v>298</v>
      </c>
    </row>
    <row r="112" spans="2:13" x14ac:dyDescent="0.25">
      <c r="B112" t="s">
        <v>283</v>
      </c>
      <c r="C112">
        <v>18644779</v>
      </c>
      <c r="D112" t="str">
        <f>"4051202247300"</f>
        <v>4051202247300</v>
      </c>
      <c r="E112" t="s">
        <v>299</v>
      </c>
      <c r="F112" t="s">
        <v>194</v>
      </c>
      <c r="G112">
        <v>1</v>
      </c>
      <c r="H112" t="s">
        <v>18</v>
      </c>
      <c r="I112" t="s">
        <v>16</v>
      </c>
      <c r="J112" t="s">
        <v>286</v>
      </c>
      <c r="L112" t="s">
        <v>18</v>
      </c>
      <c r="M112" t="s">
        <v>300</v>
      </c>
    </row>
    <row r="113" spans="2:13" x14ac:dyDescent="0.25">
      <c r="B113" t="s">
        <v>301</v>
      </c>
      <c r="C113">
        <v>14389192</v>
      </c>
      <c r="D113" t="str">
        <f>"8433290351170"</f>
        <v>8433290351170</v>
      </c>
      <c r="E113" t="s">
        <v>302</v>
      </c>
      <c r="F113" t="s">
        <v>194</v>
      </c>
      <c r="G113">
        <v>1</v>
      </c>
      <c r="H113" t="s">
        <v>15</v>
      </c>
      <c r="I113" t="s">
        <v>51</v>
      </c>
      <c r="J113" t="s">
        <v>182</v>
      </c>
      <c r="L113" t="s">
        <v>18</v>
      </c>
      <c r="M113" t="s">
        <v>303</v>
      </c>
    </row>
    <row r="114" spans="2:13" x14ac:dyDescent="0.25">
      <c r="B114" t="s">
        <v>301</v>
      </c>
      <c r="C114">
        <v>49071020</v>
      </c>
      <c r="E114" t="s">
        <v>304</v>
      </c>
      <c r="G114">
        <v>1</v>
      </c>
      <c r="H114" t="s">
        <v>18</v>
      </c>
      <c r="I114" t="s">
        <v>16</v>
      </c>
      <c r="L114" t="s">
        <v>18</v>
      </c>
      <c r="M114" t="s">
        <v>224</v>
      </c>
    </row>
    <row r="115" spans="2:13" x14ac:dyDescent="0.25">
      <c r="B115" t="s">
        <v>305</v>
      </c>
      <c r="C115">
        <v>13911014</v>
      </c>
      <c r="D115" t="str">
        <f>"4690403008022"</f>
        <v>4690403008022</v>
      </c>
      <c r="E115" t="s">
        <v>306</v>
      </c>
      <c r="F115" t="s">
        <v>307</v>
      </c>
      <c r="G115">
        <v>1</v>
      </c>
      <c r="H115" t="s">
        <v>18</v>
      </c>
      <c r="I115" t="s">
        <v>16</v>
      </c>
      <c r="J115" t="s">
        <v>213</v>
      </c>
      <c r="L115" t="s">
        <v>18</v>
      </c>
      <c r="M115" t="s">
        <v>308</v>
      </c>
    </row>
    <row r="116" spans="2:13" x14ac:dyDescent="0.25">
      <c r="B116" t="s">
        <v>305</v>
      </c>
      <c r="C116">
        <v>14105137</v>
      </c>
      <c r="D116" t="str">
        <f>"4810531094487"</f>
        <v>4810531094487</v>
      </c>
      <c r="E116" t="s">
        <v>309</v>
      </c>
      <c r="F116" t="s">
        <v>310</v>
      </c>
      <c r="G116">
        <v>1</v>
      </c>
      <c r="H116" t="s">
        <v>18</v>
      </c>
      <c r="I116" t="s">
        <v>51</v>
      </c>
      <c r="J116" t="s">
        <v>167</v>
      </c>
      <c r="L116" t="s">
        <v>18</v>
      </c>
      <c r="M116" t="s">
        <v>311</v>
      </c>
    </row>
    <row r="117" spans="2:13" x14ac:dyDescent="0.25">
      <c r="B117" t="s">
        <v>305</v>
      </c>
      <c r="C117">
        <v>14360883</v>
      </c>
      <c r="D117" t="str">
        <f>"4640013390444"</f>
        <v>4640013390444</v>
      </c>
      <c r="E117" t="s">
        <v>312</v>
      </c>
      <c r="F117" t="s">
        <v>114</v>
      </c>
      <c r="G117">
        <v>1</v>
      </c>
      <c r="H117" t="s">
        <v>18</v>
      </c>
      <c r="I117" t="s">
        <v>51</v>
      </c>
      <c r="J117" t="s">
        <v>171</v>
      </c>
      <c r="L117" t="s">
        <v>18</v>
      </c>
      <c r="M117" t="s">
        <v>313</v>
      </c>
    </row>
    <row r="118" spans="2:13" x14ac:dyDescent="0.25">
      <c r="B118" t="s">
        <v>305</v>
      </c>
      <c r="C118">
        <v>15032291</v>
      </c>
      <c r="D118" t="str">
        <f>"4640009670789"</f>
        <v>4640009670789</v>
      </c>
      <c r="E118" t="s">
        <v>314</v>
      </c>
      <c r="F118" t="s">
        <v>315</v>
      </c>
      <c r="G118">
        <v>1</v>
      </c>
      <c r="H118" t="s">
        <v>18</v>
      </c>
      <c r="I118" t="s">
        <v>16</v>
      </c>
      <c r="J118" t="s">
        <v>162</v>
      </c>
      <c r="L118" t="s">
        <v>18</v>
      </c>
      <c r="M118" t="s">
        <v>316</v>
      </c>
    </row>
    <row r="119" spans="2:13" x14ac:dyDescent="0.25">
      <c r="B119" t="s">
        <v>305</v>
      </c>
      <c r="C119">
        <v>15785509</v>
      </c>
      <c r="D119" t="str">
        <f>"4051343031653"</f>
        <v>4051343031653</v>
      </c>
      <c r="E119" t="s">
        <v>317</v>
      </c>
      <c r="F119" t="s">
        <v>185</v>
      </c>
      <c r="G119">
        <v>1</v>
      </c>
      <c r="H119" t="s">
        <v>18</v>
      </c>
      <c r="I119" t="s">
        <v>51</v>
      </c>
      <c r="J119" t="s">
        <v>52</v>
      </c>
      <c r="L119" t="s">
        <v>18</v>
      </c>
      <c r="M119" t="s">
        <v>318</v>
      </c>
    </row>
    <row r="120" spans="2:13" x14ac:dyDescent="0.25">
      <c r="B120" t="s">
        <v>305</v>
      </c>
      <c r="C120">
        <v>15932329</v>
      </c>
      <c r="D120" t="str">
        <f>"4690311045454"</f>
        <v>4690311045454</v>
      </c>
      <c r="E120" t="s">
        <v>319</v>
      </c>
      <c r="F120" t="s">
        <v>109</v>
      </c>
      <c r="G120">
        <v>1</v>
      </c>
      <c r="H120" t="s">
        <v>18</v>
      </c>
      <c r="I120" t="s">
        <v>16</v>
      </c>
      <c r="J120" t="s">
        <v>175</v>
      </c>
      <c r="K120" s="1">
        <v>42963</v>
      </c>
      <c r="L120" t="s">
        <v>18</v>
      </c>
      <c r="M120" t="s">
        <v>320</v>
      </c>
    </row>
    <row r="121" spans="2:13" x14ac:dyDescent="0.25">
      <c r="B121" t="s">
        <v>305</v>
      </c>
      <c r="C121">
        <v>17015313</v>
      </c>
      <c r="D121" t="str">
        <f>"4610018180517"</f>
        <v>4610018180517</v>
      </c>
      <c r="E121" t="s">
        <v>321</v>
      </c>
      <c r="F121" t="s">
        <v>322</v>
      </c>
      <c r="G121">
        <v>1</v>
      </c>
      <c r="H121" t="s">
        <v>18</v>
      </c>
      <c r="I121" t="s">
        <v>16</v>
      </c>
      <c r="J121" t="s">
        <v>171</v>
      </c>
      <c r="L121" t="s">
        <v>18</v>
      </c>
      <c r="M121" t="s">
        <v>323</v>
      </c>
    </row>
    <row r="122" spans="2:13" x14ac:dyDescent="0.25">
      <c r="B122" t="s">
        <v>305</v>
      </c>
      <c r="C122">
        <v>17391298</v>
      </c>
      <c r="D122" t="str">
        <f>"4640009670918"</f>
        <v>4640009670918</v>
      </c>
      <c r="E122" t="s">
        <v>324</v>
      </c>
      <c r="F122" t="s">
        <v>325</v>
      </c>
      <c r="G122">
        <v>1</v>
      </c>
      <c r="H122" t="s">
        <v>18</v>
      </c>
      <c r="I122" t="s">
        <v>16</v>
      </c>
      <c r="J122" t="s">
        <v>162</v>
      </c>
      <c r="L122" t="s">
        <v>18</v>
      </c>
      <c r="M122" t="s">
        <v>326</v>
      </c>
    </row>
    <row r="123" spans="2:13" x14ac:dyDescent="0.25">
      <c r="B123" t="s">
        <v>305</v>
      </c>
      <c r="C123">
        <v>17391319</v>
      </c>
      <c r="D123" t="str">
        <f>"4620000149392"</f>
        <v>4620000149392</v>
      </c>
      <c r="E123" t="s">
        <v>327</v>
      </c>
      <c r="F123" t="s">
        <v>328</v>
      </c>
      <c r="G123">
        <v>1</v>
      </c>
      <c r="H123" t="s">
        <v>18</v>
      </c>
      <c r="I123" t="s">
        <v>16</v>
      </c>
      <c r="J123" t="s">
        <v>162</v>
      </c>
      <c r="L123" t="s">
        <v>18</v>
      </c>
      <c r="M123" t="s">
        <v>329</v>
      </c>
    </row>
    <row r="124" spans="2:13" x14ac:dyDescent="0.25">
      <c r="B124" t="s">
        <v>305</v>
      </c>
      <c r="C124">
        <v>17498909</v>
      </c>
      <c r="D124" t="str">
        <f>"4610018180081"</f>
        <v>4610018180081</v>
      </c>
      <c r="E124" t="s">
        <v>330</v>
      </c>
      <c r="F124" t="s">
        <v>48</v>
      </c>
      <c r="G124">
        <v>1</v>
      </c>
      <c r="H124" t="s">
        <v>18</v>
      </c>
      <c r="I124" t="s">
        <v>16</v>
      </c>
      <c r="J124" t="s">
        <v>171</v>
      </c>
      <c r="L124" t="s">
        <v>18</v>
      </c>
      <c r="M124" t="s">
        <v>331</v>
      </c>
    </row>
    <row r="125" spans="2:13" x14ac:dyDescent="0.25">
      <c r="B125" t="s">
        <v>305</v>
      </c>
      <c r="C125">
        <v>18002768</v>
      </c>
      <c r="D125" t="str">
        <f>"4014804786516"</f>
        <v>4014804786516</v>
      </c>
      <c r="E125" t="s">
        <v>332</v>
      </c>
      <c r="F125" t="s">
        <v>48</v>
      </c>
      <c r="G125">
        <v>1</v>
      </c>
      <c r="H125" t="s">
        <v>18</v>
      </c>
      <c r="I125" t="s">
        <v>51</v>
      </c>
      <c r="J125" t="s">
        <v>333</v>
      </c>
      <c r="L125" t="s">
        <v>18</v>
      </c>
      <c r="M125" t="s">
        <v>334</v>
      </c>
    </row>
    <row r="126" spans="2:13" x14ac:dyDescent="0.25">
      <c r="B126" t="s">
        <v>335</v>
      </c>
      <c r="C126">
        <v>15932311</v>
      </c>
      <c r="D126" t="str">
        <f>"5907720685430"</f>
        <v>5907720685430</v>
      </c>
      <c r="E126" t="s">
        <v>336</v>
      </c>
      <c r="F126" t="s">
        <v>60</v>
      </c>
      <c r="G126">
        <v>1</v>
      </c>
      <c r="H126" t="s">
        <v>18</v>
      </c>
      <c r="I126" t="s">
        <v>16</v>
      </c>
      <c r="J126" t="s">
        <v>175</v>
      </c>
      <c r="L126" t="s">
        <v>18</v>
      </c>
      <c r="M126" t="s">
        <v>337</v>
      </c>
    </row>
    <row r="127" spans="2:13" x14ac:dyDescent="0.25">
      <c r="B127" t="s">
        <v>335</v>
      </c>
      <c r="C127">
        <v>16431331</v>
      </c>
      <c r="E127" t="s">
        <v>338</v>
      </c>
      <c r="F127" t="s">
        <v>21</v>
      </c>
      <c r="G127">
        <v>1</v>
      </c>
      <c r="H127" t="s">
        <v>18</v>
      </c>
      <c r="I127" t="s">
        <v>16</v>
      </c>
      <c r="L127" t="s">
        <v>18</v>
      </c>
      <c r="M127" t="s">
        <v>339</v>
      </c>
    </row>
    <row r="128" spans="2:13" x14ac:dyDescent="0.25">
      <c r="B128" t="s">
        <v>335</v>
      </c>
      <c r="C128">
        <v>17860921</v>
      </c>
      <c r="D128" t="str">
        <f>"4014804637108"</f>
        <v>4014804637108</v>
      </c>
      <c r="E128" t="s">
        <v>340</v>
      </c>
      <c r="F128" t="s">
        <v>114</v>
      </c>
      <c r="G128">
        <v>1</v>
      </c>
      <c r="H128" t="s">
        <v>18</v>
      </c>
      <c r="I128" t="s">
        <v>16</v>
      </c>
      <c r="J128" t="s">
        <v>333</v>
      </c>
      <c r="L128" t="s">
        <v>18</v>
      </c>
      <c r="M128" t="s">
        <v>341</v>
      </c>
    </row>
    <row r="129" spans="2:13" x14ac:dyDescent="0.25">
      <c r="B129" t="s">
        <v>335</v>
      </c>
      <c r="C129">
        <v>18644787</v>
      </c>
      <c r="D129" t="str">
        <f>"4051202349011"</f>
        <v>4051202349011</v>
      </c>
      <c r="E129" t="s">
        <v>342</v>
      </c>
      <c r="F129" t="s">
        <v>48</v>
      </c>
      <c r="G129">
        <v>1</v>
      </c>
      <c r="H129" t="s">
        <v>18</v>
      </c>
      <c r="I129" t="s">
        <v>16</v>
      </c>
      <c r="J129" t="s">
        <v>286</v>
      </c>
      <c r="L129" t="s">
        <v>18</v>
      </c>
      <c r="M129" t="s">
        <v>343</v>
      </c>
    </row>
    <row r="130" spans="2:13" x14ac:dyDescent="0.25">
      <c r="B130" t="s">
        <v>344</v>
      </c>
      <c r="C130">
        <v>12281532</v>
      </c>
      <c r="D130" t="str">
        <f>"4607152360516"</f>
        <v>4607152360516</v>
      </c>
      <c r="E130" t="s">
        <v>345</v>
      </c>
      <c r="F130" t="s">
        <v>346</v>
      </c>
      <c r="G130">
        <v>1</v>
      </c>
      <c r="H130" t="s">
        <v>18</v>
      </c>
      <c r="I130" t="s">
        <v>16</v>
      </c>
      <c r="J130" t="s">
        <v>236</v>
      </c>
      <c r="L130" t="s">
        <v>18</v>
      </c>
      <c r="M130" t="s">
        <v>347</v>
      </c>
    </row>
    <row r="131" spans="2:13" x14ac:dyDescent="0.25">
      <c r="B131" t="s">
        <v>344</v>
      </c>
      <c r="C131">
        <v>12545147</v>
      </c>
      <c r="D131" t="str">
        <f>"3440893126604"</f>
        <v>3440893126604</v>
      </c>
      <c r="E131" t="s">
        <v>348</v>
      </c>
      <c r="F131" t="s">
        <v>194</v>
      </c>
      <c r="G131">
        <v>1</v>
      </c>
      <c r="H131" t="s">
        <v>18</v>
      </c>
      <c r="I131" t="s">
        <v>16</v>
      </c>
      <c r="J131" t="s">
        <v>349</v>
      </c>
      <c r="L131" t="s">
        <v>18</v>
      </c>
      <c r="M131" t="s">
        <v>350</v>
      </c>
    </row>
    <row r="132" spans="2:13" x14ac:dyDescent="0.25">
      <c r="B132" t="s">
        <v>344</v>
      </c>
      <c r="C132">
        <v>16431307</v>
      </c>
      <c r="D132" t="str">
        <f>"8433290338867"</f>
        <v>8433290338867</v>
      </c>
      <c r="E132" t="s">
        <v>351</v>
      </c>
      <c r="F132" t="s">
        <v>21</v>
      </c>
      <c r="G132">
        <v>1</v>
      </c>
      <c r="H132" t="s">
        <v>18</v>
      </c>
      <c r="I132" t="s">
        <v>16</v>
      </c>
      <c r="J132" t="s">
        <v>182</v>
      </c>
      <c r="L132" t="s">
        <v>18</v>
      </c>
      <c r="M132" t="s">
        <v>352</v>
      </c>
    </row>
    <row r="133" spans="2:13" x14ac:dyDescent="0.25">
      <c r="B133" t="s">
        <v>353</v>
      </c>
      <c r="C133">
        <v>11631828</v>
      </c>
      <c r="D133" t="str">
        <f>"3440890187356"</f>
        <v>3440890187356</v>
      </c>
      <c r="E133" t="s">
        <v>354</v>
      </c>
      <c r="F133" t="s">
        <v>194</v>
      </c>
      <c r="G133">
        <v>1</v>
      </c>
      <c r="H133" t="s">
        <v>18</v>
      </c>
      <c r="I133" t="s">
        <v>16</v>
      </c>
      <c r="J133" t="s">
        <v>349</v>
      </c>
      <c r="L133" t="s">
        <v>18</v>
      </c>
      <c r="M133" t="s">
        <v>355</v>
      </c>
    </row>
    <row r="134" spans="2:13" x14ac:dyDescent="0.25">
      <c r="B134" t="s">
        <v>353</v>
      </c>
      <c r="C134">
        <v>12281559</v>
      </c>
      <c r="D134" t="str">
        <f>"4607152360165"</f>
        <v>4607152360165</v>
      </c>
      <c r="E134" t="s">
        <v>356</v>
      </c>
      <c r="F134" t="s">
        <v>357</v>
      </c>
      <c r="G134">
        <v>1</v>
      </c>
      <c r="H134" t="s">
        <v>18</v>
      </c>
      <c r="I134" t="s">
        <v>16</v>
      </c>
      <c r="J134" t="s">
        <v>236</v>
      </c>
      <c r="L134" t="s">
        <v>18</v>
      </c>
      <c r="M134" t="s">
        <v>358</v>
      </c>
    </row>
    <row r="135" spans="2:13" x14ac:dyDescent="0.25">
      <c r="B135" t="s">
        <v>353</v>
      </c>
      <c r="C135">
        <v>17989927</v>
      </c>
      <c r="D135" t="str">
        <f>"4617143118125"</f>
        <v>4617143118125</v>
      </c>
      <c r="E135" t="s">
        <v>359</v>
      </c>
      <c r="F135" t="s">
        <v>191</v>
      </c>
      <c r="G135">
        <v>1</v>
      </c>
      <c r="H135" t="s">
        <v>18</v>
      </c>
      <c r="I135" t="s">
        <v>16</v>
      </c>
      <c r="J135" t="s">
        <v>360</v>
      </c>
      <c r="L135" t="s">
        <v>18</v>
      </c>
      <c r="M135" t="s">
        <v>361</v>
      </c>
    </row>
    <row r="136" spans="2:13" x14ac:dyDescent="0.25">
      <c r="B136" t="s">
        <v>362</v>
      </c>
      <c r="C136">
        <v>11587855</v>
      </c>
      <c r="D136" t="str">
        <f>"4630011020061"</f>
        <v>4630011020061</v>
      </c>
      <c r="E136" t="s">
        <v>363</v>
      </c>
      <c r="F136" t="s">
        <v>191</v>
      </c>
      <c r="G136">
        <v>1</v>
      </c>
      <c r="H136" t="s">
        <v>18</v>
      </c>
      <c r="I136" t="s">
        <v>16</v>
      </c>
      <c r="J136" t="s">
        <v>182</v>
      </c>
      <c r="L136" t="s">
        <v>18</v>
      </c>
      <c r="M136" t="s">
        <v>364</v>
      </c>
    </row>
    <row r="137" spans="2:13" x14ac:dyDescent="0.25">
      <c r="B137" t="s">
        <v>362</v>
      </c>
      <c r="C137">
        <v>12784316</v>
      </c>
      <c r="D137" t="str">
        <f>"8033576430409"</f>
        <v>8033576430409</v>
      </c>
      <c r="E137" t="s">
        <v>365</v>
      </c>
      <c r="F137" t="s">
        <v>366</v>
      </c>
      <c r="G137">
        <v>1</v>
      </c>
      <c r="H137" t="s">
        <v>18</v>
      </c>
      <c r="I137" t="s">
        <v>51</v>
      </c>
      <c r="J137" t="s">
        <v>182</v>
      </c>
      <c r="L137" t="s">
        <v>18</v>
      </c>
      <c r="M137" t="s">
        <v>367</v>
      </c>
    </row>
    <row r="138" spans="2:13" x14ac:dyDescent="0.25">
      <c r="B138" t="s">
        <v>362</v>
      </c>
      <c r="C138">
        <v>13827859</v>
      </c>
      <c r="D138" t="str">
        <f>"4607152360400"</f>
        <v>4607152360400</v>
      </c>
      <c r="E138" t="s">
        <v>368</v>
      </c>
      <c r="F138" t="s">
        <v>366</v>
      </c>
      <c r="G138">
        <v>1</v>
      </c>
      <c r="H138" t="s">
        <v>18</v>
      </c>
      <c r="I138" t="s">
        <v>16</v>
      </c>
      <c r="J138" t="s">
        <v>236</v>
      </c>
      <c r="L138" t="s">
        <v>18</v>
      </c>
      <c r="M138" t="s">
        <v>369</v>
      </c>
    </row>
    <row r="139" spans="2:13" x14ac:dyDescent="0.25">
      <c r="B139" t="s">
        <v>362</v>
      </c>
      <c r="C139">
        <v>13827867</v>
      </c>
      <c r="D139" t="str">
        <f>"4607152360318"</f>
        <v>4607152360318</v>
      </c>
      <c r="E139" t="s">
        <v>370</v>
      </c>
      <c r="F139" t="s">
        <v>242</v>
      </c>
      <c r="G139">
        <v>1</v>
      </c>
      <c r="H139" t="s">
        <v>18</v>
      </c>
      <c r="I139" t="s">
        <v>16</v>
      </c>
      <c r="J139" t="s">
        <v>236</v>
      </c>
      <c r="L139" t="s">
        <v>18</v>
      </c>
      <c r="M139" t="s">
        <v>371</v>
      </c>
    </row>
    <row r="140" spans="2:13" x14ac:dyDescent="0.25">
      <c r="B140" t="s">
        <v>362</v>
      </c>
      <c r="C140">
        <v>13828835</v>
      </c>
      <c r="D140" t="str">
        <f>"8414329220322"</f>
        <v>8414329220322</v>
      </c>
      <c r="E140" t="s">
        <v>372</v>
      </c>
      <c r="F140" t="s">
        <v>227</v>
      </c>
      <c r="G140">
        <v>1</v>
      </c>
      <c r="H140" t="s">
        <v>18</v>
      </c>
      <c r="I140" t="s">
        <v>16</v>
      </c>
      <c r="J140" t="s">
        <v>182</v>
      </c>
      <c r="L140" t="s">
        <v>18</v>
      </c>
      <c r="M140" t="s">
        <v>373</v>
      </c>
    </row>
    <row r="141" spans="2:13" x14ac:dyDescent="0.25">
      <c r="B141" t="s">
        <v>362</v>
      </c>
      <c r="C141">
        <v>16431323</v>
      </c>
      <c r="D141" t="str">
        <f>"8433290318401"</f>
        <v>8433290318401</v>
      </c>
      <c r="E141" t="s">
        <v>374</v>
      </c>
      <c r="F141" t="s">
        <v>40</v>
      </c>
      <c r="G141">
        <v>1</v>
      </c>
      <c r="H141" t="s">
        <v>18</v>
      </c>
      <c r="I141" t="s">
        <v>16</v>
      </c>
      <c r="J141" t="s">
        <v>182</v>
      </c>
      <c r="L141" t="s">
        <v>18</v>
      </c>
      <c r="M141" t="s">
        <v>375</v>
      </c>
    </row>
    <row r="142" spans="2:13" x14ac:dyDescent="0.25">
      <c r="B142" t="s">
        <v>376</v>
      </c>
      <c r="C142">
        <v>11631748</v>
      </c>
      <c r="D142" t="str">
        <f>"3440893128042"</f>
        <v>3440893128042</v>
      </c>
      <c r="E142" t="s">
        <v>377</v>
      </c>
      <c r="F142" t="s">
        <v>194</v>
      </c>
      <c r="G142">
        <v>1</v>
      </c>
      <c r="H142" t="s">
        <v>18</v>
      </c>
      <c r="I142" t="s">
        <v>16</v>
      </c>
      <c r="J142" t="s">
        <v>349</v>
      </c>
      <c r="L142" t="s">
        <v>18</v>
      </c>
      <c r="M142" t="s">
        <v>350</v>
      </c>
    </row>
    <row r="143" spans="2:13" x14ac:dyDescent="0.25">
      <c r="B143" t="s">
        <v>376</v>
      </c>
      <c r="C143">
        <v>13828843</v>
      </c>
      <c r="D143" t="str">
        <f>"8414329420531"</f>
        <v>8414329420531</v>
      </c>
      <c r="E143" t="s">
        <v>378</v>
      </c>
      <c r="F143" t="s">
        <v>379</v>
      </c>
      <c r="G143">
        <v>1</v>
      </c>
      <c r="H143" t="s">
        <v>18</v>
      </c>
      <c r="I143" t="s">
        <v>16</v>
      </c>
      <c r="J143" t="s">
        <v>182</v>
      </c>
      <c r="L143" t="s">
        <v>18</v>
      </c>
      <c r="M143" t="s">
        <v>380</v>
      </c>
    </row>
    <row r="144" spans="2:13" x14ac:dyDescent="0.25">
      <c r="B144" t="s">
        <v>381</v>
      </c>
      <c r="C144">
        <v>11943258</v>
      </c>
      <c r="D144" t="str">
        <f>"8028124023660"</f>
        <v>8028124023660</v>
      </c>
      <c r="E144" t="s">
        <v>382</v>
      </c>
      <c r="F144" t="s">
        <v>31</v>
      </c>
      <c r="G144">
        <v>0</v>
      </c>
      <c r="H144" t="s">
        <v>18</v>
      </c>
      <c r="I144" t="s">
        <v>16</v>
      </c>
      <c r="J144" t="s">
        <v>286</v>
      </c>
      <c r="L144" t="s">
        <v>18</v>
      </c>
      <c r="M144" t="s">
        <v>383</v>
      </c>
    </row>
    <row r="145" spans="2:13" x14ac:dyDescent="0.25">
      <c r="B145" t="s">
        <v>381</v>
      </c>
      <c r="C145">
        <v>12437920</v>
      </c>
      <c r="D145" t="str">
        <f>"3440890720539"</f>
        <v>3440890720539</v>
      </c>
      <c r="E145" t="s">
        <v>384</v>
      </c>
      <c r="F145" t="s">
        <v>194</v>
      </c>
      <c r="G145">
        <v>1</v>
      </c>
      <c r="H145" t="s">
        <v>18</v>
      </c>
      <c r="I145" t="s">
        <v>16</v>
      </c>
      <c r="J145" t="s">
        <v>349</v>
      </c>
      <c r="L145" t="s">
        <v>18</v>
      </c>
      <c r="M145" t="s">
        <v>385</v>
      </c>
    </row>
    <row r="146" spans="2:13" x14ac:dyDescent="0.25">
      <c r="B146" t="s">
        <v>381</v>
      </c>
      <c r="C146">
        <v>13828851</v>
      </c>
      <c r="D146" t="str">
        <f>"4680000930611"</f>
        <v>4680000930611</v>
      </c>
      <c r="E146" t="s">
        <v>386</v>
      </c>
      <c r="F146" t="s">
        <v>21</v>
      </c>
      <c r="G146">
        <v>1</v>
      </c>
      <c r="H146" t="s">
        <v>18</v>
      </c>
      <c r="I146" t="s">
        <v>16</v>
      </c>
      <c r="J146" t="s">
        <v>182</v>
      </c>
      <c r="L146" t="s">
        <v>18</v>
      </c>
      <c r="M146" t="s">
        <v>387</v>
      </c>
    </row>
    <row r="147" spans="2:13" x14ac:dyDescent="0.25">
      <c r="B147" t="s">
        <v>381</v>
      </c>
      <c r="C147">
        <v>13828878</v>
      </c>
      <c r="D147" t="str">
        <f>"8414329488128"</f>
        <v>8414329488128</v>
      </c>
      <c r="E147" t="s">
        <v>388</v>
      </c>
      <c r="F147" t="s">
        <v>389</v>
      </c>
      <c r="G147">
        <v>1</v>
      </c>
      <c r="H147" t="s">
        <v>18</v>
      </c>
      <c r="I147" t="s">
        <v>51</v>
      </c>
      <c r="J147" t="s">
        <v>182</v>
      </c>
      <c r="L147" t="s">
        <v>18</v>
      </c>
      <c r="M147" t="s">
        <v>390</v>
      </c>
    </row>
    <row r="148" spans="2:13" x14ac:dyDescent="0.25">
      <c r="B148" t="s">
        <v>391</v>
      </c>
      <c r="C148">
        <v>13151393</v>
      </c>
      <c r="D148" t="str">
        <f>"4607019630097"</f>
        <v>4607019630097</v>
      </c>
      <c r="E148" t="s">
        <v>392</v>
      </c>
      <c r="F148" t="s">
        <v>393</v>
      </c>
      <c r="G148">
        <v>0</v>
      </c>
      <c r="H148" t="s">
        <v>18</v>
      </c>
      <c r="I148" t="s">
        <v>51</v>
      </c>
      <c r="J148" t="s">
        <v>171</v>
      </c>
      <c r="L148" t="s">
        <v>18</v>
      </c>
      <c r="M148" t="s">
        <v>394</v>
      </c>
    </row>
    <row r="149" spans="2:13" x14ac:dyDescent="0.25">
      <c r="B149" t="s">
        <v>391</v>
      </c>
      <c r="C149">
        <v>17283300</v>
      </c>
      <c r="D149" t="str">
        <f>"2000172833008"</f>
        <v>2000172833008</v>
      </c>
      <c r="E149" t="s">
        <v>395</v>
      </c>
      <c r="F149" t="s">
        <v>14</v>
      </c>
      <c r="G149">
        <v>1</v>
      </c>
      <c r="H149" t="s">
        <v>18</v>
      </c>
      <c r="I149" t="s">
        <v>51</v>
      </c>
      <c r="J149" t="s">
        <v>175</v>
      </c>
      <c r="L149" t="s">
        <v>18</v>
      </c>
      <c r="M149" t="s">
        <v>396</v>
      </c>
    </row>
    <row r="150" spans="2:13" x14ac:dyDescent="0.25">
      <c r="B150" t="s">
        <v>397</v>
      </c>
      <c r="C150">
        <v>13514350</v>
      </c>
      <c r="D150" t="str">
        <f>"8710315001075"</f>
        <v>8710315001075</v>
      </c>
      <c r="E150" t="s">
        <v>398</v>
      </c>
      <c r="F150" t="s">
        <v>194</v>
      </c>
      <c r="G150">
        <v>1</v>
      </c>
      <c r="H150" t="s">
        <v>18</v>
      </c>
      <c r="I150" t="s">
        <v>51</v>
      </c>
      <c r="J150" t="s">
        <v>399</v>
      </c>
      <c r="L150" t="s">
        <v>18</v>
      </c>
      <c r="M150" t="s">
        <v>400</v>
      </c>
    </row>
    <row r="151" spans="2:13" x14ac:dyDescent="0.25">
      <c r="B151" t="s">
        <v>397</v>
      </c>
      <c r="C151">
        <v>13514377</v>
      </c>
      <c r="D151" t="str">
        <f>"8710315001051"</f>
        <v>8710315001051</v>
      </c>
      <c r="E151" t="s">
        <v>401</v>
      </c>
      <c r="F151" t="s">
        <v>285</v>
      </c>
      <c r="G151">
        <v>1</v>
      </c>
      <c r="H151" t="s">
        <v>18</v>
      </c>
      <c r="I151" t="s">
        <v>16</v>
      </c>
      <c r="J151" t="s">
        <v>399</v>
      </c>
      <c r="L151" t="s">
        <v>18</v>
      </c>
      <c r="M151" t="s">
        <v>402</v>
      </c>
    </row>
    <row r="152" spans="2:13" x14ac:dyDescent="0.25">
      <c r="B152" t="s">
        <v>397</v>
      </c>
      <c r="C152">
        <v>13514385</v>
      </c>
      <c r="D152" t="str">
        <f>"8710315001044"</f>
        <v>8710315001044</v>
      </c>
      <c r="E152" t="s">
        <v>403</v>
      </c>
      <c r="F152" t="s">
        <v>268</v>
      </c>
      <c r="G152">
        <v>1</v>
      </c>
      <c r="H152" t="s">
        <v>18</v>
      </c>
      <c r="I152" t="s">
        <v>16</v>
      </c>
      <c r="J152" t="s">
        <v>399</v>
      </c>
      <c r="L152" t="s">
        <v>18</v>
      </c>
      <c r="M152" t="s">
        <v>404</v>
      </c>
    </row>
    <row r="153" spans="2:13" x14ac:dyDescent="0.25">
      <c r="B153" t="s">
        <v>397</v>
      </c>
      <c r="C153">
        <v>13869098</v>
      </c>
      <c r="D153" t="str">
        <f>"4607165990366"</f>
        <v>4607165990366</v>
      </c>
      <c r="E153" t="s">
        <v>405</v>
      </c>
      <c r="F153" t="s">
        <v>406</v>
      </c>
      <c r="G153">
        <v>1</v>
      </c>
      <c r="H153" t="s">
        <v>18</v>
      </c>
      <c r="I153" t="s">
        <v>16</v>
      </c>
      <c r="J153" t="s">
        <v>407</v>
      </c>
      <c r="L153" t="s">
        <v>18</v>
      </c>
      <c r="M153" t="s">
        <v>408</v>
      </c>
    </row>
    <row r="154" spans="2:13" x14ac:dyDescent="0.25">
      <c r="B154" t="s">
        <v>397</v>
      </c>
      <c r="C154">
        <v>13869100</v>
      </c>
      <c r="D154" t="str">
        <f>"4607165990328"</f>
        <v>4607165990328</v>
      </c>
      <c r="E154" t="s">
        <v>409</v>
      </c>
      <c r="F154" t="s">
        <v>410</v>
      </c>
      <c r="G154">
        <v>1</v>
      </c>
      <c r="H154" t="s">
        <v>18</v>
      </c>
      <c r="I154" t="s">
        <v>16</v>
      </c>
      <c r="J154" t="s">
        <v>407</v>
      </c>
      <c r="L154" t="s">
        <v>18</v>
      </c>
      <c r="M154" t="s">
        <v>411</v>
      </c>
    </row>
    <row r="155" spans="2:13" x14ac:dyDescent="0.25">
      <c r="B155" t="s">
        <v>397</v>
      </c>
      <c r="C155">
        <v>17988166</v>
      </c>
      <c r="D155" t="str">
        <f>"4610018184218"</f>
        <v>4610018184218</v>
      </c>
      <c r="E155" t="s">
        <v>412</v>
      </c>
      <c r="F155" t="s">
        <v>413</v>
      </c>
      <c r="G155">
        <v>1</v>
      </c>
      <c r="H155" t="s">
        <v>18</v>
      </c>
      <c r="I155" t="s">
        <v>16</v>
      </c>
      <c r="J155" t="s">
        <v>171</v>
      </c>
      <c r="L155" t="s">
        <v>18</v>
      </c>
      <c r="M155" t="s">
        <v>414</v>
      </c>
    </row>
    <row r="156" spans="2:13" x14ac:dyDescent="0.25">
      <c r="B156" t="s">
        <v>415</v>
      </c>
      <c r="C156">
        <v>10500447</v>
      </c>
      <c r="D156" t="str">
        <f>"8710315992083"</f>
        <v>8710315992083</v>
      </c>
      <c r="E156" t="s">
        <v>416</v>
      </c>
      <c r="F156" t="s">
        <v>43</v>
      </c>
      <c r="G156">
        <v>1</v>
      </c>
      <c r="H156" t="s">
        <v>18</v>
      </c>
      <c r="I156" t="s">
        <v>16</v>
      </c>
      <c r="J156" t="s">
        <v>399</v>
      </c>
      <c r="L156" t="s">
        <v>18</v>
      </c>
      <c r="M156" t="s">
        <v>417</v>
      </c>
    </row>
    <row r="157" spans="2:13" x14ac:dyDescent="0.25">
      <c r="B157" t="s">
        <v>415</v>
      </c>
      <c r="C157">
        <v>15812298</v>
      </c>
      <c r="D157" t="str">
        <f>"8710315020786"</f>
        <v>8710315020786</v>
      </c>
      <c r="E157" t="s">
        <v>418</v>
      </c>
      <c r="F157" t="s">
        <v>31</v>
      </c>
      <c r="G157">
        <v>1</v>
      </c>
      <c r="H157" t="s">
        <v>18</v>
      </c>
      <c r="I157" t="s">
        <v>16</v>
      </c>
      <c r="J157" t="s">
        <v>399</v>
      </c>
      <c r="L157" t="s">
        <v>18</v>
      </c>
      <c r="M157" t="s">
        <v>419</v>
      </c>
    </row>
    <row r="158" spans="2:13" x14ac:dyDescent="0.25">
      <c r="B158" t="s">
        <v>415</v>
      </c>
      <c r="C158">
        <v>17848825</v>
      </c>
      <c r="D158" t="str">
        <f>"8710315994254"</f>
        <v>8710315994254</v>
      </c>
      <c r="E158" t="s">
        <v>420</v>
      </c>
      <c r="F158" t="s">
        <v>410</v>
      </c>
      <c r="G158">
        <v>1</v>
      </c>
      <c r="H158" t="s">
        <v>18</v>
      </c>
      <c r="I158" t="s">
        <v>51</v>
      </c>
      <c r="J158" t="s">
        <v>399</v>
      </c>
      <c r="L158" t="s">
        <v>18</v>
      </c>
      <c r="M158" t="s">
        <v>421</v>
      </c>
    </row>
    <row r="159" spans="2:13" x14ac:dyDescent="0.25">
      <c r="B159" t="s">
        <v>415</v>
      </c>
      <c r="C159">
        <v>17848833</v>
      </c>
      <c r="D159" t="str">
        <f>"8710315017601"</f>
        <v>8710315017601</v>
      </c>
      <c r="E159" t="s">
        <v>422</v>
      </c>
      <c r="F159" t="s">
        <v>194</v>
      </c>
      <c r="G159">
        <v>1</v>
      </c>
      <c r="H159" t="s">
        <v>18</v>
      </c>
      <c r="I159" t="s">
        <v>16</v>
      </c>
      <c r="J159" t="s">
        <v>399</v>
      </c>
      <c r="L159" t="s">
        <v>18</v>
      </c>
      <c r="M159" t="s">
        <v>421</v>
      </c>
    </row>
    <row r="160" spans="2:13" x14ac:dyDescent="0.25">
      <c r="B160" t="s">
        <v>423</v>
      </c>
      <c r="C160">
        <v>16077301</v>
      </c>
      <c r="D160" t="str">
        <f>"4005176913969"</f>
        <v>4005176913969</v>
      </c>
      <c r="E160" t="s">
        <v>424</v>
      </c>
      <c r="F160" t="s">
        <v>425</v>
      </c>
      <c r="G160">
        <v>1</v>
      </c>
      <c r="H160" t="s">
        <v>18</v>
      </c>
      <c r="I160" t="s">
        <v>16</v>
      </c>
      <c r="J160" t="s">
        <v>426</v>
      </c>
      <c r="L160" t="s">
        <v>18</v>
      </c>
      <c r="M160" t="s">
        <v>427</v>
      </c>
    </row>
    <row r="161" spans="2:13" x14ac:dyDescent="0.25">
      <c r="B161" t="s">
        <v>423</v>
      </c>
      <c r="C161">
        <v>16100292</v>
      </c>
      <c r="D161" t="str">
        <f>"4025416516576"</f>
        <v>4025416516576</v>
      </c>
      <c r="E161" t="s">
        <v>428</v>
      </c>
      <c r="F161" t="s">
        <v>27</v>
      </c>
      <c r="G161">
        <v>1</v>
      </c>
      <c r="H161" t="s">
        <v>18</v>
      </c>
      <c r="I161" t="s">
        <v>16</v>
      </c>
      <c r="J161" t="s">
        <v>429</v>
      </c>
      <c r="L161" t="s">
        <v>18</v>
      </c>
      <c r="M161" t="s">
        <v>430</v>
      </c>
    </row>
    <row r="162" spans="2:13" x14ac:dyDescent="0.25">
      <c r="B162" t="s">
        <v>423</v>
      </c>
      <c r="C162">
        <v>17365452</v>
      </c>
      <c r="D162" t="str">
        <f>"4025416802860"</f>
        <v>4025416802860</v>
      </c>
      <c r="E162" t="s">
        <v>431</v>
      </c>
      <c r="F162" t="s">
        <v>165</v>
      </c>
      <c r="G162">
        <v>1</v>
      </c>
      <c r="H162" t="s">
        <v>18</v>
      </c>
      <c r="I162" t="s">
        <v>16</v>
      </c>
      <c r="J162" t="s">
        <v>429</v>
      </c>
      <c r="L162" t="s">
        <v>18</v>
      </c>
      <c r="M162" t="s">
        <v>432</v>
      </c>
    </row>
    <row r="163" spans="2:13" x14ac:dyDescent="0.25">
      <c r="B163" t="s">
        <v>433</v>
      </c>
      <c r="C163">
        <v>11738457</v>
      </c>
      <c r="D163" t="str">
        <f>"4025416333869"</f>
        <v>4025416333869</v>
      </c>
      <c r="E163" t="s">
        <v>434</v>
      </c>
      <c r="F163" t="s">
        <v>48</v>
      </c>
      <c r="G163">
        <v>1</v>
      </c>
      <c r="H163" t="s">
        <v>18</v>
      </c>
      <c r="I163" t="s">
        <v>51</v>
      </c>
      <c r="J163" t="s">
        <v>429</v>
      </c>
      <c r="L163" t="s">
        <v>18</v>
      </c>
      <c r="M163" t="s">
        <v>435</v>
      </c>
    </row>
    <row r="164" spans="2:13" x14ac:dyDescent="0.25">
      <c r="B164" t="s">
        <v>436</v>
      </c>
      <c r="C164">
        <v>15071291</v>
      </c>
      <c r="D164" t="str">
        <f>"8433290482898"</f>
        <v>8433290482898</v>
      </c>
      <c r="E164" t="s">
        <v>437</v>
      </c>
      <c r="F164" t="s">
        <v>277</v>
      </c>
      <c r="G164">
        <v>1</v>
      </c>
      <c r="H164" t="s">
        <v>15</v>
      </c>
      <c r="I164" t="s">
        <v>51</v>
      </c>
      <c r="J164" t="s">
        <v>182</v>
      </c>
      <c r="L164" t="s">
        <v>18</v>
      </c>
      <c r="M164" t="s">
        <v>438</v>
      </c>
    </row>
    <row r="165" spans="2:13" x14ac:dyDescent="0.25">
      <c r="B165" t="s">
        <v>436</v>
      </c>
      <c r="C165">
        <v>15979320</v>
      </c>
      <c r="D165" t="str">
        <f>"4690311036032"</f>
        <v>4690311036032</v>
      </c>
      <c r="E165" t="s">
        <v>439</v>
      </c>
      <c r="F165" t="s">
        <v>24</v>
      </c>
      <c r="G165">
        <v>1</v>
      </c>
      <c r="H165" t="s">
        <v>15</v>
      </c>
      <c r="I165" t="s">
        <v>16</v>
      </c>
      <c r="J165" t="s">
        <v>175</v>
      </c>
      <c r="L165" t="s">
        <v>18</v>
      </c>
      <c r="M165" t="s">
        <v>440</v>
      </c>
    </row>
    <row r="166" spans="2:13" x14ac:dyDescent="0.25">
      <c r="B166" t="s">
        <v>436</v>
      </c>
      <c r="C166">
        <v>17445436</v>
      </c>
      <c r="D166" t="str">
        <f>"8711778202986"</f>
        <v>8711778202986</v>
      </c>
      <c r="E166" t="s">
        <v>441</v>
      </c>
      <c r="F166" t="s">
        <v>442</v>
      </c>
      <c r="G166">
        <v>1</v>
      </c>
      <c r="H166" t="s">
        <v>18</v>
      </c>
      <c r="I166" t="s">
        <v>16</v>
      </c>
      <c r="J166" t="s">
        <v>52</v>
      </c>
      <c r="L166" t="s">
        <v>18</v>
      </c>
      <c r="M166" t="s">
        <v>443</v>
      </c>
    </row>
    <row r="167" spans="2:13" x14ac:dyDescent="0.25">
      <c r="B167" t="s">
        <v>436</v>
      </c>
      <c r="C167">
        <v>18635602</v>
      </c>
      <c r="D167" t="str">
        <f>"4005176436277"</f>
        <v>4005176436277</v>
      </c>
      <c r="E167" t="s">
        <v>444</v>
      </c>
      <c r="F167" t="s">
        <v>24</v>
      </c>
      <c r="G167">
        <v>1</v>
      </c>
      <c r="H167" t="s">
        <v>15</v>
      </c>
      <c r="I167" t="s">
        <v>16</v>
      </c>
      <c r="J167" t="s">
        <v>426</v>
      </c>
      <c r="L167" t="s">
        <v>18</v>
      </c>
      <c r="M167" t="s">
        <v>445</v>
      </c>
    </row>
    <row r="168" spans="2:13" x14ac:dyDescent="0.25">
      <c r="B168" t="s">
        <v>436</v>
      </c>
      <c r="C168">
        <v>49074030</v>
      </c>
      <c r="E168" t="s">
        <v>446</v>
      </c>
      <c r="G168">
        <v>1</v>
      </c>
      <c r="H168" t="s">
        <v>18</v>
      </c>
      <c r="I168" t="s">
        <v>16</v>
      </c>
      <c r="L168" t="s">
        <v>18</v>
      </c>
      <c r="M168" t="s">
        <v>224</v>
      </c>
    </row>
    <row r="169" spans="2:13" x14ac:dyDescent="0.25">
      <c r="B169" t="s">
        <v>447</v>
      </c>
      <c r="C169">
        <v>49077950</v>
      </c>
      <c r="E169" t="s">
        <v>448</v>
      </c>
      <c r="G169">
        <v>1</v>
      </c>
      <c r="H169" t="s">
        <v>18</v>
      </c>
      <c r="I169" t="s">
        <v>16</v>
      </c>
      <c r="L169" t="s">
        <v>18</v>
      </c>
      <c r="M169" t="s">
        <v>224</v>
      </c>
    </row>
    <row r="170" spans="2:13" x14ac:dyDescent="0.25">
      <c r="B170" t="s">
        <v>449</v>
      </c>
      <c r="C170">
        <v>10021948</v>
      </c>
      <c r="E170" t="s">
        <v>450</v>
      </c>
      <c r="F170" t="s">
        <v>40</v>
      </c>
      <c r="G170">
        <v>1</v>
      </c>
      <c r="H170" t="s">
        <v>15</v>
      </c>
      <c r="I170" t="s">
        <v>16</v>
      </c>
      <c r="L170" t="s">
        <v>18</v>
      </c>
      <c r="M170" t="s">
        <v>451</v>
      </c>
    </row>
    <row r="171" spans="2:13" x14ac:dyDescent="0.25">
      <c r="B171" t="s">
        <v>449</v>
      </c>
      <c r="C171">
        <v>10021972</v>
      </c>
      <c r="E171" t="s">
        <v>452</v>
      </c>
      <c r="F171" t="s">
        <v>109</v>
      </c>
      <c r="G171">
        <v>1</v>
      </c>
      <c r="H171" t="s">
        <v>15</v>
      </c>
      <c r="I171" t="s">
        <v>51</v>
      </c>
      <c r="L171" t="s">
        <v>18</v>
      </c>
      <c r="M171" t="s">
        <v>453</v>
      </c>
    </row>
    <row r="172" spans="2:13" x14ac:dyDescent="0.25">
      <c r="B172" t="s">
        <v>449</v>
      </c>
      <c r="C172">
        <v>12281188</v>
      </c>
      <c r="D172" t="str">
        <f>"4607152360028"</f>
        <v>4607152360028</v>
      </c>
      <c r="E172" t="s">
        <v>454</v>
      </c>
      <c r="F172" t="s">
        <v>24</v>
      </c>
      <c r="G172">
        <v>1</v>
      </c>
      <c r="H172" t="s">
        <v>15</v>
      </c>
      <c r="I172" t="s">
        <v>16</v>
      </c>
      <c r="J172" t="s">
        <v>236</v>
      </c>
      <c r="L172" t="s">
        <v>18</v>
      </c>
      <c r="M172" t="s">
        <v>455</v>
      </c>
    </row>
    <row r="173" spans="2:13" x14ac:dyDescent="0.25">
      <c r="B173" t="s">
        <v>449</v>
      </c>
      <c r="C173">
        <v>12474908</v>
      </c>
      <c r="D173" t="str">
        <f>"2000124749081"</f>
        <v>2000124749081</v>
      </c>
      <c r="E173" t="s">
        <v>456</v>
      </c>
      <c r="F173" t="s">
        <v>194</v>
      </c>
      <c r="G173">
        <v>1</v>
      </c>
      <c r="H173" t="s">
        <v>15</v>
      </c>
      <c r="I173" t="s">
        <v>51</v>
      </c>
      <c r="J173" t="s">
        <v>236</v>
      </c>
      <c r="L173" t="s">
        <v>18</v>
      </c>
      <c r="M173" t="s">
        <v>457</v>
      </c>
    </row>
    <row r="174" spans="2:13" x14ac:dyDescent="0.25">
      <c r="B174" t="s">
        <v>449</v>
      </c>
      <c r="C174">
        <v>15502353</v>
      </c>
      <c r="D174" t="str">
        <f>"4607152360257"</f>
        <v>4607152360257</v>
      </c>
      <c r="E174" t="s">
        <v>458</v>
      </c>
      <c r="F174" t="s">
        <v>43</v>
      </c>
      <c r="G174">
        <v>1</v>
      </c>
      <c r="H174" t="s">
        <v>15</v>
      </c>
      <c r="I174" t="s">
        <v>51</v>
      </c>
      <c r="J174" t="s">
        <v>236</v>
      </c>
      <c r="L174" t="s">
        <v>18</v>
      </c>
      <c r="M174" t="s">
        <v>459</v>
      </c>
    </row>
    <row r="175" spans="2:13" x14ac:dyDescent="0.25">
      <c r="B175" t="s">
        <v>449</v>
      </c>
      <c r="C175">
        <v>15502370</v>
      </c>
      <c r="D175" t="str">
        <f>"4607152360585"</f>
        <v>4607152360585</v>
      </c>
      <c r="E175" t="s">
        <v>460</v>
      </c>
      <c r="F175" t="s">
        <v>389</v>
      </c>
      <c r="G175">
        <v>1</v>
      </c>
      <c r="H175" t="s">
        <v>15</v>
      </c>
      <c r="I175" t="s">
        <v>51</v>
      </c>
      <c r="J175" t="s">
        <v>236</v>
      </c>
      <c r="L175" t="s">
        <v>18</v>
      </c>
      <c r="M175" t="s">
        <v>461</v>
      </c>
    </row>
    <row r="176" spans="2:13" x14ac:dyDescent="0.25">
      <c r="B176" t="s">
        <v>462</v>
      </c>
      <c r="C176">
        <v>10022000</v>
      </c>
      <c r="E176" t="s">
        <v>463</v>
      </c>
      <c r="F176" t="s">
        <v>48</v>
      </c>
      <c r="G176">
        <v>1</v>
      </c>
      <c r="H176" t="s">
        <v>15</v>
      </c>
      <c r="I176" t="s">
        <v>16</v>
      </c>
      <c r="L176" t="s">
        <v>18</v>
      </c>
      <c r="M176" t="s">
        <v>464</v>
      </c>
    </row>
    <row r="177" spans="2:13" x14ac:dyDescent="0.25">
      <c r="B177" t="s">
        <v>462</v>
      </c>
      <c r="C177">
        <v>12281401</v>
      </c>
      <c r="D177" t="str">
        <f>"4607152360080"</f>
        <v>4607152360080</v>
      </c>
      <c r="E177" t="s">
        <v>465</v>
      </c>
      <c r="F177" t="s">
        <v>466</v>
      </c>
      <c r="G177">
        <v>1</v>
      </c>
      <c r="H177" t="s">
        <v>15</v>
      </c>
      <c r="I177" t="s">
        <v>16</v>
      </c>
      <c r="J177" t="s">
        <v>236</v>
      </c>
      <c r="L177" t="s">
        <v>18</v>
      </c>
      <c r="M177" t="s">
        <v>467</v>
      </c>
    </row>
    <row r="178" spans="2:13" x14ac:dyDescent="0.25">
      <c r="B178" t="s">
        <v>462</v>
      </c>
      <c r="C178">
        <v>12474916</v>
      </c>
      <c r="D178" t="str">
        <f>"4607152360073"</f>
        <v>4607152360073</v>
      </c>
      <c r="E178" t="s">
        <v>468</v>
      </c>
      <c r="F178" t="s">
        <v>227</v>
      </c>
      <c r="G178">
        <v>1</v>
      </c>
      <c r="H178" t="s">
        <v>15</v>
      </c>
      <c r="I178" t="s">
        <v>51</v>
      </c>
      <c r="J178" t="s">
        <v>236</v>
      </c>
      <c r="L178" t="s">
        <v>18</v>
      </c>
      <c r="M178" t="s">
        <v>469</v>
      </c>
    </row>
    <row r="179" spans="2:13" x14ac:dyDescent="0.25">
      <c r="B179" t="s">
        <v>462</v>
      </c>
      <c r="C179">
        <v>15502361</v>
      </c>
      <c r="D179" t="str">
        <f>"4607152360264"</f>
        <v>4607152360264</v>
      </c>
      <c r="E179" t="s">
        <v>470</v>
      </c>
      <c r="F179" t="s">
        <v>48</v>
      </c>
      <c r="G179">
        <v>1</v>
      </c>
      <c r="H179" t="s">
        <v>15</v>
      </c>
      <c r="I179" t="s">
        <v>51</v>
      </c>
      <c r="J179" t="s">
        <v>236</v>
      </c>
      <c r="L179" t="s">
        <v>18</v>
      </c>
      <c r="M179" t="s">
        <v>471</v>
      </c>
    </row>
    <row r="180" spans="2:13" x14ac:dyDescent="0.25">
      <c r="B180" t="s">
        <v>472</v>
      </c>
      <c r="C180">
        <v>17806748</v>
      </c>
      <c r="D180" t="str">
        <f>"4600779000346"</f>
        <v>4600779000346</v>
      </c>
      <c r="E180" t="s">
        <v>473</v>
      </c>
      <c r="F180" t="s">
        <v>24</v>
      </c>
      <c r="G180">
        <v>1</v>
      </c>
      <c r="H180" t="s">
        <v>18</v>
      </c>
      <c r="I180" t="s">
        <v>51</v>
      </c>
      <c r="J180" t="s">
        <v>115</v>
      </c>
      <c r="L180" t="s">
        <v>18</v>
      </c>
      <c r="M180" t="s">
        <v>474</v>
      </c>
    </row>
    <row r="181" spans="2:13" x14ac:dyDescent="0.25">
      <c r="B181" t="s">
        <v>472</v>
      </c>
      <c r="C181">
        <v>17806764</v>
      </c>
      <c r="D181" t="str">
        <f>"4600779013643"</f>
        <v>4600779013643</v>
      </c>
      <c r="E181" t="s">
        <v>475</v>
      </c>
      <c r="F181" t="s">
        <v>393</v>
      </c>
      <c r="G181">
        <v>1</v>
      </c>
      <c r="H181" t="s">
        <v>18</v>
      </c>
      <c r="I181" t="s">
        <v>51</v>
      </c>
      <c r="J181" t="s">
        <v>115</v>
      </c>
      <c r="L181" t="s">
        <v>18</v>
      </c>
      <c r="M181" t="s">
        <v>476</v>
      </c>
    </row>
    <row r="182" spans="2:13" x14ac:dyDescent="0.25">
      <c r="B182" t="s">
        <v>477</v>
      </c>
      <c r="C182">
        <v>14188489</v>
      </c>
      <c r="D182" t="str">
        <f>"4600779997530"</f>
        <v>4600779997530</v>
      </c>
      <c r="E182" t="s">
        <v>478</v>
      </c>
      <c r="F182" t="s">
        <v>60</v>
      </c>
      <c r="G182">
        <v>1</v>
      </c>
      <c r="H182" t="s">
        <v>18</v>
      </c>
      <c r="I182" t="s">
        <v>16</v>
      </c>
      <c r="J182" t="s">
        <v>115</v>
      </c>
      <c r="L182" t="s">
        <v>18</v>
      </c>
      <c r="M182" t="s">
        <v>479</v>
      </c>
    </row>
    <row r="183" spans="2:13" x14ac:dyDescent="0.25">
      <c r="B183" t="s">
        <v>477</v>
      </c>
      <c r="C183">
        <v>15087541</v>
      </c>
      <c r="D183" t="str">
        <f>"3276005176270"</f>
        <v>3276005176270</v>
      </c>
      <c r="E183" t="s">
        <v>480</v>
      </c>
      <c r="F183" t="s">
        <v>310</v>
      </c>
      <c r="G183">
        <v>1</v>
      </c>
      <c r="H183" t="s">
        <v>18</v>
      </c>
      <c r="I183" t="s">
        <v>16</v>
      </c>
      <c r="J183" t="s">
        <v>17</v>
      </c>
      <c r="L183" t="s">
        <v>18</v>
      </c>
      <c r="M183" t="s">
        <v>481</v>
      </c>
    </row>
    <row r="184" spans="2:13" x14ac:dyDescent="0.25">
      <c r="B184" t="s">
        <v>477</v>
      </c>
      <c r="C184">
        <v>15256332</v>
      </c>
      <c r="D184" t="str">
        <f>"4600779005532"</f>
        <v>4600779005532</v>
      </c>
      <c r="E184" t="s">
        <v>482</v>
      </c>
      <c r="F184" t="s">
        <v>24</v>
      </c>
      <c r="G184">
        <v>1</v>
      </c>
      <c r="H184" t="s">
        <v>18</v>
      </c>
      <c r="I184" t="s">
        <v>16</v>
      </c>
      <c r="J184" t="s">
        <v>115</v>
      </c>
      <c r="L184" t="s">
        <v>18</v>
      </c>
      <c r="M184" t="s">
        <v>483</v>
      </c>
    </row>
    <row r="185" spans="2:13" x14ac:dyDescent="0.25">
      <c r="B185" t="s">
        <v>477</v>
      </c>
      <c r="C185">
        <v>17719484</v>
      </c>
      <c r="D185" t="str">
        <f>"4607155204640"</f>
        <v>4607155204640</v>
      </c>
      <c r="E185" t="s">
        <v>484</v>
      </c>
      <c r="F185" t="s">
        <v>485</v>
      </c>
      <c r="G185">
        <v>1</v>
      </c>
      <c r="H185" t="s">
        <v>18</v>
      </c>
      <c r="I185" t="s">
        <v>51</v>
      </c>
      <c r="J185" t="s">
        <v>52</v>
      </c>
      <c r="L185" t="s">
        <v>18</v>
      </c>
      <c r="M185" t="s">
        <v>486</v>
      </c>
    </row>
    <row r="186" spans="2:13" x14ac:dyDescent="0.25">
      <c r="B186" t="s">
        <v>477</v>
      </c>
      <c r="C186">
        <v>18017898</v>
      </c>
      <c r="D186" t="str">
        <f>"4690311049681"</f>
        <v>4690311049681</v>
      </c>
      <c r="E186" t="s">
        <v>487</v>
      </c>
      <c r="F186" t="s">
        <v>109</v>
      </c>
      <c r="G186">
        <v>1</v>
      </c>
      <c r="H186" t="s">
        <v>18</v>
      </c>
      <c r="I186" t="s">
        <v>16</v>
      </c>
      <c r="J186" t="s">
        <v>175</v>
      </c>
      <c r="L186" t="s">
        <v>18</v>
      </c>
      <c r="M186" t="s">
        <v>488</v>
      </c>
    </row>
    <row r="187" spans="2:13" x14ac:dyDescent="0.25">
      <c r="B187" t="s">
        <v>489</v>
      </c>
      <c r="C187">
        <v>14188542</v>
      </c>
      <c r="D187" t="str">
        <f>"4600779997547"</f>
        <v>4600779997547</v>
      </c>
      <c r="E187" t="s">
        <v>490</v>
      </c>
      <c r="F187" t="s">
        <v>491</v>
      </c>
      <c r="G187">
        <v>1</v>
      </c>
      <c r="H187" t="s">
        <v>18</v>
      </c>
      <c r="I187" t="s">
        <v>16</v>
      </c>
      <c r="J187" t="s">
        <v>115</v>
      </c>
      <c r="L187" t="s">
        <v>18</v>
      </c>
      <c r="M187" t="s">
        <v>492</v>
      </c>
    </row>
    <row r="188" spans="2:13" x14ac:dyDescent="0.25">
      <c r="B188" t="s">
        <v>489</v>
      </c>
      <c r="C188">
        <v>15087532</v>
      </c>
      <c r="D188" t="str">
        <f>"3276005176300"</f>
        <v>3276005176300</v>
      </c>
      <c r="E188" t="s">
        <v>493</v>
      </c>
      <c r="F188" t="s">
        <v>268</v>
      </c>
      <c r="G188">
        <v>1</v>
      </c>
      <c r="H188" t="s">
        <v>18</v>
      </c>
      <c r="I188" t="s">
        <v>16</v>
      </c>
      <c r="J188" t="s">
        <v>17</v>
      </c>
      <c r="L188" t="s">
        <v>18</v>
      </c>
      <c r="M188" t="s">
        <v>494</v>
      </c>
    </row>
    <row r="189" spans="2:13" x14ac:dyDescent="0.25">
      <c r="B189" t="s">
        <v>489</v>
      </c>
      <c r="C189">
        <v>15256359</v>
      </c>
      <c r="D189" t="str">
        <f>"4600779005556"</f>
        <v>4600779005556</v>
      </c>
      <c r="E189" t="s">
        <v>495</v>
      </c>
      <c r="F189" t="s">
        <v>191</v>
      </c>
      <c r="G189">
        <v>1</v>
      </c>
      <c r="H189" t="s">
        <v>18</v>
      </c>
      <c r="I189" t="s">
        <v>16</v>
      </c>
      <c r="J189" t="s">
        <v>115</v>
      </c>
      <c r="L189" t="s">
        <v>18</v>
      </c>
      <c r="M189" t="s">
        <v>496</v>
      </c>
    </row>
    <row r="190" spans="2:13" x14ac:dyDescent="0.25">
      <c r="B190" t="s">
        <v>489</v>
      </c>
      <c r="C190">
        <v>17719513</v>
      </c>
      <c r="D190" t="str">
        <f>"4607155204671"</f>
        <v>4607155204671</v>
      </c>
      <c r="E190" t="s">
        <v>497</v>
      </c>
      <c r="F190" t="s">
        <v>295</v>
      </c>
      <c r="G190">
        <v>1</v>
      </c>
      <c r="H190" t="s">
        <v>18</v>
      </c>
      <c r="I190" t="s">
        <v>51</v>
      </c>
      <c r="J190" t="s">
        <v>52</v>
      </c>
      <c r="L190" t="s">
        <v>18</v>
      </c>
      <c r="M190" t="s">
        <v>498</v>
      </c>
    </row>
    <row r="191" spans="2:13" x14ac:dyDescent="0.25">
      <c r="B191" t="s">
        <v>489</v>
      </c>
      <c r="C191">
        <v>18017901</v>
      </c>
      <c r="D191" t="str">
        <f>"4690311049698"</f>
        <v>4690311049698</v>
      </c>
      <c r="E191" t="s">
        <v>499</v>
      </c>
      <c r="F191" t="s">
        <v>43</v>
      </c>
      <c r="G191">
        <v>1</v>
      </c>
      <c r="H191" t="s">
        <v>18</v>
      </c>
      <c r="I191" t="s">
        <v>16</v>
      </c>
      <c r="J191" t="s">
        <v>175</v>
      </c>
      <c r="L191" t="s">
        <v>18</v>
      </c>
      <c r="M191" t="s">
        <v>500</v>
      </c>
    </row>
    <row r="192" spans="2:13" x14ac:dyDescent="0.25">
      <c r="B192" t="s">
        <v>501</v>
      </c>
      <c r="C192">
        <v>13521438</v>
      </c>
      <c r="D192" t="str">
        <f>"3276004362209"</f>
        <v>3276004362209</v>
      </c>
      <c r="E192" t="s">
        <v>502</v>
      </c>
      <c r="F192" t="s">
        <v>109</v>
      </c>
      <c r="G192">
        <v>1</v>
      </c>
      <c r="H192" t="s">
        <v>15</v>
      </c>
      <c r="I192" t="s">
        <v>51</v>
      </c>
      <c r="J192" t="s">
        <v>28</v>
      </c>
      <c r="L192" t="s">
        <v>18</v>
      </c>
      <c r="M192" t="s">
        <v>503</v>
      </c>
    </row>
    <row r="193" spans="2:13" x14ac:dyDescent="0.25">
      <c r="B193" t="s">
        <v>501</v>
      </c>
      <c r="C193">
        <v>18387506</v>
      </c>
      <c r="D193" t="str">
        <f>"4600779018259"</f>
        <v>4600779018259</v>
      </c>
      <c r="E193" t="s">
        <v>504</v>
      </c>
      <c r="F193" t="s">
        <v>31</v>
      </c>
      <c r="G193">
        <v>1</v>
      </c>
      <c r="H193" t="s">
        <v>15</v>
      </c>
      <c r="I193" t="s">
        <v>51</v>
      </c>
      <c r="J193" t="s">
        <v>115</v>
      </c>
      <c r="L193" t="s">
        <v>18</v>
      </c>
      <c r="M193" t="s">
        <v>505</v>
      </c>
    </row>
    <row r="194" spans="2:13" x14ac:dyDescent="0.25">
      <c r="B194" t="s">
        <v>501</v>
      </c>
      <c r="C194">
        <v>18387514</v>
      </c>
      <c r="D194" t="str">
        <f>"4600779018266"</f>
        <v>4600779018266</v>
      </c>
      <c r="E194" t="s">
        <v>506</v>
      </c>
      <c r="F194" t="s">
        <v>109</v>
      </c>
      <c r="G194">
        <v>1</v>
      </c>
      <c r="H194" t="s">
        <v>15</v>
      </c>
      <c r="I194" t="s">
        <v>51</v>
      </c>
      <c r="J194" t="s">
        <v>115</v>
      </c>
      <c r="L194" t="s">
        <v>18</v>
      </c>
      <c r="M194" t="s">
        <v>505</v>
      </c>
    </row>
    <row r="195" spans="2:13" x14ac:dyDescent="0.25">
      <c r="B195" t="s">
        <v>507</v>
      </c>
      <c r="C195">
        <v>14212119</v>
      </c>
      <c r="D195" t="str">
        <f>"4600779998216"</f>
        <v>4600779998216</v>
      </c>
      <c r="E195" t="s">
        <v>508</v>
      </c>
      <c r="F195" t="s">
        <v>34</v>
      </c>
      <c r="G195">
        <v>1</v>
      </c>
      <c r="H195" t="s">
        <v>15</v>
      </c>
      <c r="I195" t="s">
        <v>16</v>
      </c>
      <c r="J195" t="s">
        <v>115</v>
      </c>
      <c r="L195" t="s">
        <v>18</v>
      </c>
      <c r="M195" t="s">
        <v>509</v>
      </c>
    </row>
    <row r="196" spans="2:13" x14ac:dyDescent="0.25">
      <c r="B196" t="s">
        <v>507</v>
      </c>
      <c r="C196">
        <v>15125324</v>
      </c>
      <c r="D196" t="str">
        <f>"4600779004283"</f>
        <v>4600779004283</v>
      </c>
      <c r="E196" t="s">
        <v>510</v>
      </c>
      <c r="F196" t="s">
        <v>194</v>
      </c>
      <c r="G196">
        <v>1</v>
      </c>
      <c r="H196" t="s">
        <v>15</v>
      </c>
      <c r="I196" t="s">
        <v>51</v>
      </c>
      <c r="J196" t="s">
        <v>115</v>
      </c>
      <c r="L196" t="s">
        <v>18</v>
      </c>
      <c r="M196" t="s">
        <v>511</v>
      </c>
    </row>
    <row r="197" spans="2:13" x14ac:dyDescent="0.25">
      <c r="B197" t="s">
        <v>512</v>
      </c>
      <c r="C197">
        <v>14212143</v>
      </c>
      <c r="D197" t="str">
        <f>"4600779998117"</f>
        <v>4600779998117</v>
      </c>
      <c r="E197" t="s">
        <v>513</v>
      </c>
      <c r="F197" t="s">
        <v>194</v>
      </c>
      <c r="G197">
        <v>1</v>
      </c>
      <c r="H197" t="s">
        <v>15</v>
      </c>
      <c r="I197" t="s">
        <v>16</v>
      </c>
      <c r="J197" t="s">
        <v>115</v>
      </c>
      <c r="L197" t="s">
        <v>18</v>
      </c>
      <c r="M197" t="s">
        <v>514</v>
      </c>
    </row>
    <row r="198" spans="2:13" x14ac:dyDescent="0.25">
      <c r="B198" t="s">
        <v>512</v>
      </c>
      <c r="C198">
        <v>14212151</v>
      </c>
      <c r="D198" t="str">
        <f>"4600779998124"</f>
        <v>4600779998124</v>
      </c>
      <c r="E198" t="s">
        <v>515</v>
      </c>
      <c r="F198" t="s">
        <v>109</v>
      </c>
      <c r="G198">
        <v>1</v>
      </c>
      <c r="H198" t="s">
        <v>15</v>
      </c>
      <c r="I198" t="s">
        <v>16</v>
      </c>
      <c r="J198" t="s">
        <v>115</v>
      </c>
      <c r="L198" t="s">
        <v>18</v>
      </c>
      <c r="M198" t="s">
        <v>516</v>
      </c>
    </row>
    <row r="199" spans="2:13" x14ac:dyDescent="0.25">
      <c r="B199" t="s">
        <v>512</v>
      </c>
      <c r="C199">
        <v>14212207</v>
      </c>
      <c r="D199" t="str">
        <f>"4600779998162"</f>
        <v>4600779998162</v>
      </c>
      <c r="E199" t="s">
        <v>517</v>
      </c>
      <c r="F199" t="s">
        <v>194</v>
      </c>
      <c r="G199">
        <v>1</v>
      </c>
      <c r="H199" t="s">
        <v>15</v>
      </c>
      <c r="I199" t="s">
        <v>51</v>
      </c>
      <c r="J199" t="s">
        <v>115</v>
      </c>
      <c r="L199" t="s">
        <v>18</v>
      </c>
      <c r="M199" t="s">
        <v>518</v>
      </c>
    </row>
    <row r="200" spans="2:13" x14ac:dyDescent="0.25">
      <c r="B200" t="s">
        <v>512</v>
      </c>
      <c r="C200">
        <v>14212215</v>
      </c>
      <c r="D200" t="str">
        <f>"4600779998179"</f>
        <v>4600779998179</v>
      </c>
      <c r="E200" t="s">
        <v>519</v>
      </c>
      <c r="F200" t="s">
        <v>48</v>
      </c>
      <c r="G200">
        <v>1</v>
      </c>
      <c r="H200" t="s">
        <v>15</v>
      </c>
      <c r="I200" t="s">
        <v>51</v>
      </c>
      <c r="J200" t="s">
        <v>115</v>
      </c>
      <c r="L200" t="s">
        <v>18</v>
      </c>
      <c r="M200" t="s">
        <v>518</v>
      </c>
    </row>
    <row r="201" spans="2:13" x14ac:dyDescent="0.25">
      <c r="B201" t="s">
        <v>520</v>
      </c>
      <c r="C201">
        <v>15082555</v>
      </c>
      <c r="D201" t="str">
        <f>"3276005179585"</f>
        <v>3276005179585</v>
      </c>
      <c r="E201" t="s">
        <v>521</v>
      </c>
      <c r="F201" t="s">
        <v>522</v>
      </c>
      <c r="G201">
        <v>1</v>
      </c>
      <c r="H201" t="s">
        <v>18</v>
      </c>
      <c r="I201" t="s">
        <v>16</v>
      </c>
      <c r="J201" t="s">
        <v>17</v>
      </c>
      <c r="L201" t="s">
        <v>18</v>
      </c>
      <c r="M201" t="s">
        <v>523</v>
      </c>
    </row>
    <row r="202" spans="2:13" x14ac:dyDescent="0.25">
      <c r="B202" t="s">
        <v>520</v>
      </c>
      <c r="C202">
        <v>15082580</v>
      </c>
      <c r="D202" t="str">
        <f>"3276005103481"</f>
        <v>3276005103481</v>
      </c>
      <c r="E202" t="s">
        <v>524</v>
      </c>
      <c r="F202" t="s">
        <v>525</v>
      </c>
      <c r="G202">
        <v>1</v>
      </c>
      <c r="H202" t="s">
        <v>18</v>
      </c>
      <c r="I202" t="s">
        <v>16</v>
      </c>
      <c r="J202" t="s">
        <v>28</v>
      </c>
      <c r="L202" t="s">
        <v>18</v>
      </c>
      <c r="M202" t="s">
        <v>526</v>
      </c>
    </row>
    <row r="203" spans="2:13" x14ac:dyDescent="0.25">
      <c r="B203" t="s">
        <v>527</v>
      </c>
      <c r="C203">
        <v>15082563</v>
      </c>
      <c r="D203" t="str">
        <f>"3276005179547"</f>
        <v>3276005179547</v>
      </c>
      <c r="E203" t="s">
        <v>528</v>
      </c>
      <c r="F203" t="s">
        <v>14</v>
      </c>
      <c r="G203">
        <v>1</v>
      </c>
      <c r="H203" t="s">
        <v>18</v>
      </c>
      <c r="I203" t="s">
        <v>16</v>
      </c>
      <c r="J203" t="s">
        <v>17</v>
      </c>
      <c r="L203" t="s">
        <v>18</v>
      </c>
      <c r="M203" t="s">
        <v>529</v>
      </c>
    </row>
    <row r="204" spans="2:13" x14ac:dyDescent="0.25">
      <c r="B204" t="s">
        <v>527</v>
      </c>
      <c r="C204">
        <v>15082598</v>
      </c>
      <c r="D204" t="str">
        <f>"3276005103443"</f>
        <v>3276005103443</v>
      </c>
      <c r="E204" t="s">
        <v>530</v>
      </c>
      <c r="F204" t="s">
        <v>48</v>
      </c>
      <c r="G204">
        <v>1</v>
      </c>
      <c r="H204" t="s">
        <v>18</v>
      </c>
      <c r="I204" t="s">
        <v>16</v>
      </c>
      <c r="J204" t="s">
        <v>17</v>
      </c>
      <c r="L204" t="s">
        <v>18</v>
      </c>
      <c r="M204" t="s">
        <v>531</v>
      </c>
    </row>
    <row r="205" spans="2:13" x14ac:dyDescent="0.25">
      <c r="B205" t="s">
        <v>532</v>
      </c>
      <c r="C205">
        <v>14253981</v>
      </c>
      <c r="D205" t="str">
        <f>"4600779998759"</f>
        <v>4600779998759</v>
      </c>
      <c r="E205" t="s">
        <v>533</v>
      </c>
      <c r="F205" t="s">
        <v>34</v>
      </c>
      <c r="G205">
        <v>1</v>
      </c>
      <c r="H205" t="s">
        <v>15</v>
      </c>
      <c r="I205" t="s">
        <v>51</v>
      </c>
      <c r="J205" t="s">
        <v>115</v>
      </c>
      <c r="L205" t="s">
        <v>18</v>
      </c>
      <c r="M205" t="s">
        <v>534</v>
      </c>
    </row>
    <row r="206" spans="2:13" x14ac:dyDescent="0.25">
      <c r="B206" t="s">
        <v>532</v>
      </c>
      <c r="C206">
        <v>14254124</v>
      </c>
      <c r="D206" t="str">
        <f>"4600779998766"</f>
        <v>4600779998766</v>
      </c>
      <c r="E206" t="s">
        <v>535</v>
      </c>
      <c r="F206" t="s">
        <v>24</v>
      </c>
      <c r="G206">
        <v>1</v>
      </c>
      <c r="H206" t="s">
        <v>15</v>
      </c>
      <c r="I206" t="s">
        <v>51</v>
      </c>
      <c r="J206" t="s">
        <v>115</v>
      </c>
      <c r="L206" t="s">
        <v>18</v>
      </c>
      <c r="M206" t="s">
        <v>536</v>
      </c>
    </row>
    <row r="207" spans="2:13" x14ac:dyDescent="0.25">
      <c r="B207" t="s">
        <v>537</v>
      </c>
      <c r="C207">
        <v>14066895</v>
      </c>
      <c r="D207" t="str">
        <f>"4600779996298"</f>
        <v>4600779996298</v>
      </c>
      <c r="E207" t="s">
        <v>538</v>
      </c>
      <c r="F207" t="s">
        <v>194</v>
      </c>
      <c r="G207">
        <v>1</v>
      </c>
      <c r="H207" t="s">
        <v>15</v>
      </c>
      <c r="I207" t="s">
        <v>51</v>
      </c>
      <c r="J207" t="s">
        <v>115</v>
      </c>
      <c r="L207" t="s">
        <v>18</v>
      </c>
      <c r="M207" t="s">
        <v>539</v>
      </c>
    </row>
    <row r="208" spans="2:13" x14ac:dyDescent="0.25">
      <c r="B208" t="s">
        <v>540</v>
      </c>
      <c r="C208">
        <v>14067396</v>
      </c>
      <c r="D208" t="str">
        <f>"4600779996328"</f>
        <v>4600779996328</v>
      </c>
      <c r="E208" t="s">
        <v>541</v>
      </c>
      <c r="F208" t="s">
        <v>34</v>
      </c>
      <c r="G208">
        <v>1</v>
      </c>
      <c r="H208" t="s">
        <v>15</v>
      </c>
      <c r="I208" t="s">
        <v>51</v>
      </c>
      <c r="J208" t="s">
        <v>115</v>
      </c>
      <c r="L208" t="s">
        <v>18</v>
      </c>
      <c r="M208" t="s">
        <v>542</v>
      </c>
    </row>
    <row r="209" spans="2:13" x14ac:dyDescent="0.25">
      <c r="B209" t="s">
        <v>540</v>
      </c>
      <c r="C209">
        <v>14067468</v>
      </c>
      <c r="D209" t="str">
        <f>"4600779996335"</f>
        <v>4600779996335</v>
      </c>
      <c r="E209" t="s">
        <v>543</v>
      </c>
      <c r="F209" t="s">
        <v>34</v>
      </c>
      <c r="G209">
        <v>1</v>
      </c>
      <c r="H209" t="s">
        <v>15</v>
      </c>
      <c r="I209" t="s">
        <v>51</v>
      </c>
      <c r="J209" t="s">
        <v>115</v>
      </c>
      <c r="L209" t="s">
        <v>18</v>
      </c>
      <c r="M209" t="s">
        <v>542</v>
      </c>
    </row>
    <row r="210" spans="2:13" x14ac:dyDescent="0.25">
      <c r="B210" t="s">
        <v>544</v>
      </c>
      <c r="C210">
        <v>13099070</v>
      </c>
      <c r="D210" t="str">
        <f>"3276200261818"</f>
        <v>3276200261818</v>
      </c>
      <c r="E210" t="s">
        <v>545</v>
      </c>
      <c r="F210" t="s">
        <v>34</v>
      </c>
      <c r="G210">
        <v>0</v>
      </c>
      <c r="H210" t="s">
        <v>15</v>
      </c>
      <c r="I210" t="s">
        <v>16</v>
      </c>
      <c r="J210" t="s">
        <v>17</v>
      </c>
      <c r="L210" t="s">
        <v>18</v>
      </c>
      <c r="M210" t="s">
        <v>546</v>
      </c>
    </row>
    <row r="211" spans="2:13" x14ac:dyDescent="0.25">
      <c r="B211" t="s">
        <v>544</v>
      </c>
      <c r="C211">
        <v>13099919</v>
      </c>
      <c r="D211" t="str">
        <f>"3276200279097"</f>
        <v>3276200279097</v>
      </c>
      <c r="E211" t="s">
        <v>547</v>
      </c>
      <c r="F211" t="s">
        <v>194</v>
      </c>
      <c r="G211">
        <v>1</v>
      </c>
      <c r="H211" t="s">
        <v>15</v>
      </c>
      <c r="I211" t="s">
        <v>16</v>
      </c>
      <c r="J211" t="s">
        <v>28</v>
      </c>
      <c r="L211" t="s">
        <v>18</v>
      </c>
      <c r="M211" t="s">
        <v>548</v>
      </c>
    </row>
    <row r="212" spans="2:13" x14ac:dyDescent="0.25">
      <c r="B212" t="s">
        <v>544</v>
      </c>
      <c r="C212">
        <v>13099927</v>
      </c>
      <c r="D212" t="str">
        <f>"3276200279172"</f>
        <v>3276200279172</v>
      </c>
      <c r="E212" t="s">
        <v>549</v>
      </c>
      <c r="F212" t="s">
        <v>24</v>
      </c>
      <c r="G212">
        <v>1</v>
      </c>
      <c r="H212" t="s">
        <v>15</v>
      </c>
      <c r="I212" t="s">
        <v>16</v>
      </c>
      <c r="J212" t="s">
        <v>17</v>
      </c>
      <c r="L212" t="s">
        <v>18</v>
      </c>
      <c r="M212" t="s">
        <v>550</v>
      </c>
    </row>
    <row r="213" spans="2:13" x14ac:dyDescent="0.25">
      <c r="B213" t="s">
        <v>544</v>
      </c>
      <c r="C213">
        <v>13099978</v>
      </c>
      <c r="D213" t="str">
        <f>"3276200280581"</f>
        <v>3276200280581</v>
      </c>
      <c r="E213" t="s">
        <v>551</v>
      </c>
      <c r="F213" t="s">
        <v>194</v>
      </c>
      <c r="G213">
        <v>1</v>
      </c>
      <c r="H213" t="s">
        <v>15</v>
      </c>
      <c r="I213" t="s">
        <v>16</v>
      </c>
      <c r="J213" t="s">
        <v>28</v>
      </c>
      <c r="L213" t="s">
        <v>18</v>
      </c>
      <c r="M213" t="s">
        <v>552</v>
      </c>
    </row>
    <row r="214" spans="2:13" x14ac:dyDescent="0.25">
      <c r="B214" t="s">
        <v>544</v>
      </c>
      <c r="C214">
        <v>13099986</v>
      </c>
      <c r="D214" t="str">
        <f>"3276200280741"</f>
        <v>3276200280741</v>
      </c>
      <c r="E214" t="s">
        <v>553</v>
      </c>
      <c r="F214" t="s">
        <v>194</v>
      </c>
      <c r="G214">
        <v>1</v>
      </c>
      <c r="H214" t="s">
        <v>15</v>
      </c>
      <c r="I214" t="s">
        <v>16</v>
      </c>
      <c r="J214" t="s">
        <v>28</v>
      </c>
      <c r="L214" t="s">
        <v>18</v>
      </c>
      <c r="M214" t="s">
        <v>554</v>
      </c>
    </row>
    <row r="215" spans="2:13" x14ac:dyDescent="0.25">
      <c r="B215" t="s">
        <v>544</v>
      </c>
      <c r="C215">
        <v>13105864</v>
      </c>
      <c r="D215" t="str">
        <f>"3276000169369"</f>
        <v>3276000169369</v>
      </c>
      <c r="E215" t="s">
        <v>555</v>
      </c>
      <c r="F215" t="s">
        <v>194</v>
      </c>
      <c r="G215">
        <v>1</v>
      </c>
      <c r="H215" t="s">
        <v>15</v>
      </c>
      <c r="I215" t="s">
        <v>16</v>
      </c>
      <c r="J215" t="s">
        <v>28</v>
      </c>
      <c r="L215" t="s">
        <v>18</v>
      </c>
      <c r="M215" t="s">
        <v>556</v>
      </c>
    </row>
    <row r="216" spans="2:13" x14ac:dyDescent="0.25">
      <c r="B216" t="s">
        <v>544</v>
      </c>
      <c r="C216">
        <v>15123409</v>
      </c>
      <c r="D216" t="str">
        <f>"4607062810507"</f>
        <v>4607062810507</v>
      </c>
      <c r="E216" t="s">
        <v>557</v>
      </c>
      <c r="F216" t="s">
        <v>48</v>
      </c>
      <c r="G216">
        <v>1</v>
      </c>
      <c r="H216" t="s">
        <v>15</v>
      </c>
      <c r="I216" t="s">
        <v>16</v>
      </c>
      <c r="J216" t="s">
        <v>55</v>
      </c>
      <c r="L216" t="s">
        <v>18</v>
      </c>
      <c r="M216" t="s">
        <v>558</v>
      </c>
    </row>
    <row r="217" spans="2:13" x14ac:dyDescent="0.25">
      <c r="B217" t="s">
        <v>544</v>
      </c>
      <c r="C217">
        <v>15123417</v>
      </c>
      <c r="D217" t="str">
        <f>"4607062810514"</f>
        <v>4607062810514</v>
      </c>
      <c r="E217" t="s">
        <v>559</v>
      </c>
      <c r="F217" t="s">
        <v>31</v>
      </c>
      <c r="G217">
        <v>1</v>
      </c>
      <c r="H217" t="s">
        <v>15</v>
      </c>
      <c r="I217" t="s">
        <v>16</v>
      </c>
      <c r="J217" t="s">
        <v>55</v>
      </c>
      <c r="L217" t="s">
        <v>18</v>
      </c>
      <c r="M217" t="s">
        <v>560</v>
      </c>
    </row>
    <row r="218" spans="2:13" x14ac:dyDescent="0.25">
      <c r="B218" t="s">
        <v>544</v>
      </c>
      <c r="C218">
        <v>15464342</v>
      </c>
      <c r="D218" t="str">
        <f>"4607062695418"</f>
        <v>4607062695418</v>
      </c>
      <c r="E218" t="s">
        <v>561</v>
      </c>
      <c r="F218" t="s">
        <v>379</v>
      </c>
      <c r="G218">
        <v>1</v>
      </c>
      <c r="H218" t="s">
        <v>18</v>
      </c>
      <c r="I218" t="s">
        <v>51</v>
      </c>
      <c r="J218" t="s">
        <v>55</v>
      </c>
      <c r="L218" t="s">
        <v>18</v>
      </c>
      <c r="M218" t="s">
        <v>562</v>
      </c>
    </row>
    <row r="219" spans="2:13" x14ac:dyDescent="0.25">
      <c r="B219" t="s">
        <v>544</v>
      </c>
      <c r="C219">
        <v>15464351</v>
      </c>
      <c r="D219" t="str">
        <f>"4607062695425"</f>
        <v>4607062695425</v>
      </c>
      <c r="E219" t="s">
        <v>563</v>
      </c>
      <c r="F219" t="s">
        <v>48</v>
      </c>
      <c r="G219">
        <v>1</v>
      </c>
      <c r="H219" t="s">
        <v>18</v>
      </c>
      <c r="I219" t="s">
        <v>51</v>
      </c>
      <c r="J219" t="s">
        <v>55</v>
      </c>
      <c r="L219" t="s">
        <v>18</v>
      </c>
      <c r="M219" t="s">
        <v>564</v>
      </c>
    </row>
    <row r="220" spans="2:13" x14ac:dyDescent="0.25">
      <c r="B220" t="s">
        <v>565</v>
      </c>
      <c r="C220">
        <v>15123425</v>
      </c>
      <c r="D220" t="str">
        <f>"4607062810521"</f>
        <v>4607062810521</v>
      </c>
      <c r="E220" t="s">
        <v>566</v>
      </c>
      <c r="F220" t="s">
        <v>27</v>
      </c>
      <c r="G220">
        <v>1</v>
      </c>
      <c r="H220" t="s">
        <v>15</v>
      </c>
      <c r="I220" t="s">
        <v>16</v>
      </c>
      <c r="J220" t="s">
        <v>55</v>
      </c>
      <c r="L220" t="s">
        <v>18</v>
      </c>
      <c r="M220" t="s">
        <v>567</v>
      </c>
    </row>
    <row r="221" spans="2:13" x14ac:dyDescent="0.25">
      <c r="B221" t="s">
        <v>568</v>
      </c>
      <c r="C221">
        <v>10022035</v>
      </c>
      <c r="D221" t="str">
        <f>"8414329396904"</f>
        <v>8414329396904</v>
      </c>
      <c r="E221" t="s">
        <v>569</v>
      </c>
      <c r="F221" t="s">
        <v>40</v>
      </c>
      <c r="G221">
        <v>1</v>
      </c>
      <c r="H221" t="s">
        <v>15</v>
      </c>
      <c r="I221" t="s">
        <v>16</v>
      </c>
      <c r="J221" t="s">
        <v>182</v>
      </c>
      <c r="L221" t="s">
        <v>18</v>
      </c>
      <c r="M221" t="s">
        <v>570</v>
      </c>
    </row>
    <row r="222" spans="2:13" x14ac:dyDescent="0.25">
      <c r="B222" t="s">
        <v>568</v>
      </c>
      <c r="C222">
        <v>13654257</v>
      </c>
      <c r="D222" t="str">
        <f>"6954823300035"</f>
        <v>6954823300035</v>
      </c>
      <c r="E222" t="s">
        <v>571</v>
      </c>
      <c r="F222" t="s">
        <v>485</v>
      </c>
      <c r="G222">
        <v>1</v>
      </c>
      <c r="H222" t="s">
        <v>18</v>
      </c>
      <c r="I222" t="s">
        <v>16</v>
      </c>
      <c r="J222" t="s">
        <v>61</v>
      </c>
      <c r="L222" t="s">
        <v>18</v>
      </c>
      <c r="M222" t="s">
        <v>231</v>
      </c>
    </row>
    <row r="223" spans="2:13" x14ac:dyDescent="0.25">
      <c r="B223" t="s">
        <v>568</v>
      </c>
      <c r="C223">
        <v>15082571</v>
      </c>
      <c r="D223" t="str">
        <f>"3276000198857"</f>
        <v>3276000198857</v>
      </c>
      <c r="E223" t="s">
        <v>572</v>
      </c>
      <c r="F223" t="s">
        <v>174</v>
      </c>
      <c r="G223">
        <v>1</v>
      </c>
      <c r="H223" t="s">
        <v>18</v>
      </c>
      <c r="I223" t="s">
        <v>16</v>
      </c>
      <c r="J223" t="s">
        <v>17</v>
      </c>
      <c r="L223" t="s">
        <v>18</v>
      </c>
      <c r="M223" t="s">
        <v>573</v>
      </c>
    </row>
    <row r="224" spans="2:13" x14ac:dyDescent="0.25">
      <c r="B224" t="s">
        <v>568</v>
      </c>
      <c r="C224">
        <v>15082601</v>
      </c>
      <c r="D224" t="str">
        <f>"3276004290014"</f>
        <v>3276004290014</v>
      </c>
      <c r="E224" t="s">
        <v>574</v>
      </c>
      <c r="F224" t="s">
        <v>285</v>
      </c>
      <c r="G224">
        <v>1</v>
      </c>
      <c r="H224" t="s">
        <v>18</v>
      </c>
      <c r="I224" t="s">
        <v>16</v>
      </c>
      <c r="J224" t="s">
        <v>28</v>
      </c>
      <c r="L224" t="s">
        <v>18</v>
      </c>
      <c r="M224" t="s">
        <v>575</v>
      </c>
    </row>
    <row r="225" spans="2:13" x14ac:dyDescent="0.25">
      <c r="B225" t="s">
        <v>568</v>
      </c>
      <c r="C225">
        <v>15087524</v>
      </c>
      <c r="D225" t="str">
        <f>"3276005176331"</f>
        <v>3276005176331</v>
      </c>
      <c r="E225" t="s">
        <v>576</v>
      </c>
      <c r="F225" t="s">
        <v>242</v>
      </c>
      <c r="G225">
        <v>1</v>
      </c>
      <c r="H225" t="s">
        <v>18</v>
      </c>
      <c r="I225" t="s">
        <v>16</v>
      </c>
      <c r="J225" t="s">
        <v>17</v>
      </c>
      <c r="L225" t="s">
        <v>18</v>
      </c>
      <c r="M225" t="s">
        <v>577</v>
      </c>
    </row>
    <row r="226" spans="2:13" x14ac:dyDescent="0.25">
      <c r="B226" t="s">
        <v>568</v>
      </c>
      <c r="C226">
        <v>15125341</v>
      </c>
      <c r="D226" t="str">
        <f>"4600779004306"</f>
        <v>4600779004306</v>
      </c>
      <c r="E226" t="s">
        <v>578</v>
      </c>
      <c r="F226" t="s">
        <v>34</v>
      </c>
      <c r="G226">
        <v>1</v>
      </c>
      <c r="H226" t="s">
        <v>15</v>
      </c>
      <c r="I226" t="s">
        <v>51</v>
      </c>
      <c r="J226" t="s">
        <v>115</v>
      </c>
      <c r="L226" t="s">
        <v>18</v>
      </c>
      <c r="M226" t="s">
        <v>579</v>
      </c>
    </row>
    <row r="227" spans="2:13" x14ac:dyDescent="0.25">
      <c r="B227" t="s">
        <v>568</v>
      </c>
      <c r="C227">
        <v>17923611</v>
      </c>
      <c r="D227" t="str">
        <f>"4607152360608"</f>
        <v>4607152360608</v>
      </c>
      <c r="E227" t="s">
        <v>580</v>
      </c>
      <c r="F227" t="s">
        <v>581</v>
      </c>
      <c r="G227">
        <v>1</v>
      </c>
      <c r="H227" t="s">
        <v>15</v>
      </c>
      <c r="I227" t="s">
        <v>16</v>
      </c>
      <c r="J227" t="s">
        <v>236</v>
      </c>
      <c r="L227" t="s">
        <v>18</v>
      </c>
      <c r="M227" t="s">
        <v>582</v>
      </c>
    </row>
    <row r="228" spans="2:13" x14ac:dyDescent="0.25">
      <c r="B228" t="s">
        <v>568</v>
      </c>
      <c r="C228">
        <v>18387549</v>
      </c>
      <c r="D228" t="str">
        <f>"4600779018273"</f>
        <v>4600779018273</v>
      </c>
      <c r="E228" t="s">
        <v>583</v>
      </c>
      <c r="F228" t="s">
        <v>31</v>
      </c>
      <c r="G228">
        <v>1</v>
      </c>
      <c r="H228" t="s">
        <v>15</v>
      </c>
      <c r="I228" t="s">
        <v>51</v>
      </c>
      <c r="J228" t="s">
        <v>115</v>
      </c>
      <c r="L228" t="s">
        <v>18</v>
      </c>
      <c r="M228" t="s">
        <v>584</v>
      </c>
    </row>
    <row r="229" spans="2:13" x14ac:dyDescent="0.25">
      <c r="B229" t="s">
        <v>585</v>
      </c>
      <c r="C229">
        <v>14188526</v>
      </c>
      <c r="D229" t="str">
        <f>"4600779997400"</f>
        <v>4600779997400</v>
      </c>
      <c r="E229" t="s">
        <v>586</v>
      </c>
      <c r="F229" t="s">
        <v>310</v>
      </c>
      <c r="G229">
        <v>1</v>
      </c>
      <c r="H229" t="s">
        <v>18</v>
      </c>
      <c r="I229" t="s">
        <v>16</v>
      </c>
      <c r="J229" t="s">
        <v>115</v>
      </c>
      <c r="L229" t="s">
        <v>18</v>
      </c>
      <c r="M229" t="s">
        <v>587</v>
      </c>
    </row>
    <row r="230" spans="2:13" x14ac:dyDescent="0.25">
      <c r="B230" t="s">
        <v>585</v>
      </c>
      <c r="C230">
        <v>14188550</v>
      </c>
      <c r="D230" t="str">
        <f>"4600779997387"</f>
        <v>4600779997387</v>
      </c>
      <c r="E230" t="s">
        <v>588</v>
      </c>
      <c r="F230" t="s">
        <v>525</v>
      </c>
      <c r="G230">
        <v>1</v>
      </c>
      <c r="H230" t="s">
        <v>18</v>
      </c>
      <c r="I230" t="s">
        <v>16</v>
      </c>
      <c r="J230" t="s">
        <v>115</v>
      </c>
      <c r="L230" t="s">
        <v>18</v>
      </c>
      <c r="M230" t="s">
        <v>589</v>
      </c>
    </row>
    <row r="231" spans="2:13" x14ac:dyDescent="0.25">
      <c r="B231" t="s">
        <v>585</v>
      </c>
      <c r="C231">
        <v>14212127</v>
      </c>
      <c r="D231" t="str">
        <f>"4600779998230"</f>
        <v>4600779998230</v>
      </c>
      <c r="E231" t="s">
        <v>590</v>
      </c>
      <c r="F231" t="s">
        <v>24</v>
      </c>
      <c r="G231">
        <v>1</v>
      </c>
      <c r="H231" t="s">
        <v>15</v>
      </c>
      <c r="I231" t="s">
        <v>51</v>
      </c>
      <c r="J231" t="s">
        <v>115</v>
      </c>
      <c r="L231" t="s">
        <v>18</v>
      </c>
      <c r="M231" t="s">
        <v>591</v>
      </c>
    </row>
    <row r="232" spans="2:13" x14ac:dyDescent="0.25">
      <c r="B232" t="s">
        <v>585</v>
      </c>
      <c r="C232">
        <v>14212135</v>
      </c>
      <c r="D232" t="str">
        <f>"4600779998223"</f>
        <v>4600779998223</v>
      </c>
      <c r="E232" t="s">
        <v>592</v>
      </c>
      <c r="F232" t="s">
        <v>24</v>
      </c>
      <c r="G232">
        <v>1</v>
      </c>
      <c r="H232" t="s">
        <v>15</v>
      </c>
      <c r="I232" t="s">
        <v>16</v>
      </c>
      <c r="J232" t="s">
        <v>115</v>
      </c>
      <c r="L232" t="s">
        <v>18</v>
      </c>
      <c r="M232" t="s">
        <v>593</v>
      </c>
    </row>
    <row r="233" spans="2:13" x14ac:dyDescent="0.25">
      <c r="B233" t="s">
        <v>585</v>
      </c>
      <c r="C233">
        <v>14212178</v>
      </c>
      <c r="D233" t="str">
        <f>"4600779998148"</f>
        <v>4600779998148</v>
      </c>
      <c r="E233" t="s">
        <v>594</v>
      </c>
      <c r="F233" t="s">
        <v>194</v>
      </c>
      <c r="G233">
        <v>1</v>
      </c>
      <c r="H233" t="s">
        <v>15</v>
      </c>
      <c r="I233" t="s">
        <v>16</v>
      </c>
      <c r="J233" t="s">
        <v>115</v>
      </c>
      <c r="L233" t="s">
        <v>18</v>
      </c>
      <c r="M233" t="s">
        <v>595</v>
      </c>
    </row>
    <row r="234" spans="2:13" x14ac:dyDescent="0.25">
      <c r="B234" t="s">
        <v>585</v>
      </c>
      <c r="C234">
        <v>14212186</v>
      </c>
      <c r="D234" t="str">
        <f>"4600779998155"</f>
        <v>4600779998155</v>
      </c>
      <c r="E234" t="s">
        <v>596</v>
      </c>
      <c r="F234" t="s">
        <v>43</v>
      </c>
      <c r="G234">
        <v>1</v>
      </c>
      <c r="H234" t="s">
        <v>15</v>
      </c>
      <c r="I234" t="s">
        <v>16</v>
      </c>
      <c r="J234" t="s">
        <v>115</v>
      </c>
      <c r="L234" t="s">
        <v>18</v>
      </c>
      <c r="M234" t="s">
        <v>595</v>
      </c>
    </row>
    <row r="235" spans="2:13" x14ac:dyDescent="0.25">
      <c r="B235" t="s">
        <v>585</v>
      </c>
      <c r="C235">
        <v>14212194</v>
      </c>
      <c r="D235" t="str">
        <f>"4600779998131"</f>
        <v>4600779998131</v>
      </c>
      <c r="E235" t="s">
        <v>597</v>
      </c>
      <c r="F235" t="s">
        <v>21</v>
      </c>
      <c r="G235">
        <v>1</v>
      </c>
      <c r="H235" t="s">
        <v>15</v>
      </c>
      <c r="I235" t="s">
        <v>16</v>
      </c>
      <c r="J235" t="s">
        <v>115</v>
      </c>
      <c r="L235" t="s">
        <v>18</v>
      </c>
      <c r="M235" t="s">
        <v>593</v>
      </c>
    </row>
    <row r="236" spans="2:13" x14ac:dyDescent="0.25">
      <c r="B236" t="s">
        <v>585</v>
      </c>
      <c r="C236">
        <v>14212223</v>
      </c>
      <c r="D236" t="str">
        <f>"4600779998193"</f>
        <v>4600779998193</v>
      </c>
      <c r="E236" t="s">
        <v>598</v>
      </c>
      <c r="F236" t="s">
        <v>24</v>
      </c>
      <c r="G236">
        <v>1</v>
      </c>
      <c r="H236" t="s">
        <v>15</v>
      </c>
      <c r="I236" t="s">
        <v>51</v>
      </c>
      <c r="J236" t="s">
        <v>115</v>
      </c>
      <c r="L236" t="s">
        <v>18</v>
      </c>
      <c r="M236" t="s">
        <v>599</v>
      </c>
    </row>
    <row r="237" spans="2:13" x14ac:dyDescent="0.25">
      <c r="B237" t="s">
        <v>585</v>
      </c>
      <c r="C237">
        <v>14212231</v>
      </c>
      <c r="D237" t="str">
        <f>"4600779998209"</f>
        <v>4600779998209</v>
      </c>
      <c r="E237" t="s">
        <v>600</v>
      </c>
      <c r="F237" t="s">
        <v>194</v>
      </c>
      <c r="G237">
        <v>1</v>
      </c>
      <c r="H237" t="s">
        <v>15</v>
      </c>
      <c r="I237" t="s">
        <v>51</v>
      </c>
      <c r="J237" t="s">
        <v>115</v>
      </c>
      <c r="L237" t="s">
        <v>18</v>
      </c>
      <c r="M237" t="s">
        <v>599</v>
      </c>
    </row>
    <row r="238" spans="2:13" x14ac:dyDescent="0.25">
      <c r="B238" t="s">
        <v>585</v>
      </c>
      <c r="C238">
        <v>14212258</v>
      </c>
      <c r="D238" t="str">
        <f>"4600779998186"</f>
        <v>4600779998186</v>
      </c>
      <c r="E238" t="s">
        <v>601</v>
      </c>
      <c r="F238" t="s">
        <v>24</v>
      </c>
      <c r="G238">
        <v>1</v>
      </c>
      <c r="H238" t="s">
        <v>15</v>
      </c>
      <c r="I238" t="s">
        <v>51</v>
      </c>
      <c r="J238" t="s">
        <v>115</v>
      </c>
      <c r="L238" t="s">
        <v>18</v>
      </c>
      <c r="M238" t="s">
        <v>593</v>
      </c>
    </row>
    <row r="239" spans="2:13" x14ac:dyDescent="0.25">
      <c r="B239" t="s">
        <v>585</v>
      </c>
      <c r="C239">
        <v>14255020</v>
      </c>
      <c r="D239" t="str">
        <f>"4600779998742"</f>
        <v>4600779998742</v>
      </c>
      <c r="E239" t="s">
        <v>602</v>
      </c>
      <c r="F239" t="s">
        <v>277</v>
      </c>
      <c r="G239">
        <v>1</v>
      </c>
      <c r="H239" t="s">
        <v>18</v>
      </c>
      <c r="I239" t="s">
        <v>16</v>
      </c>
      <c r="J239" t="s">
        <v>115</v>
      </c>
      <c r="L239" t="s">
        <v>18</v>
      </c>
      <c r="M239" t="s">
        <v>603</v>
      </c>
    </row>
    <row r="240" spans="2:13" x14ac:dyDescent="0.25">
      <c r="B240" t="s">
        <v>585</v>
      </c>
      <c r="C240">
        <v>15087698</v>
      </c>
      <c r="D240" t="str">
        <f>"4690311037633"</f>
        <v>4690311037633</v>
      </c>
      <c r="E240" t="s">
        <v>604</v>
      </c>
      <c r="F240" t="s">
        <v>43</v>
      </c>
      <c r="G240">
        <v>1</v>
      </c>
      <c r="H240" t="s">
        <v>18</v>
      </c>
      <c r="I240" t="s">
        <v>16</v>
      </c>
      <c r="J240" t="s">
        <v>175</v>
      </c>
      <c r="L240" t="s">
        <v>18</v>
      </c>
      <c r="M240" t="s">
        <v>605</v>
      </c>
    </row>
    <row r="241" spans="2:13" x14ac:dyDescent="0.25">
      <c r="B241" t="s">
        <v>585</v>
      </c>
      <c r="C241">
        <v>15125332</v>
      </c>
      <c r="D241" t="str">
        <f>"4600779004290"</f>
        <v>4600779004290</v>
      </c>
      <c r="E241" t="s">
        <v>606</v>
      </c>
      <c r="F241" t="s">
        <v>34</v>
      </c>
      <c r="G241">
        <v>1</v>
      </c>
      <c r="H241" t="s">
        <v>15</v>
      </c>
      <c r="I241" t="s">
        <v>51</v>
      </c>
      <c r="J241" t="s">
        <v>115</v>
      </c>
      <c r="L241" t="s">
        <v>18</v>
      </c>
      <c r="M241" t="s">
        <v>607</v>
      </c>
    </row>
    <row r="242" spans="2:13" x14ac:dyDescent="0.25">
      <c r="B242" t="s">
        <v>585</v>
      </c>
      <c r="C242">
        <v>17719492</v>
      </c>
      <c r="D242" t="str">
        <f>"4607155204657"</f>
        <v>4607155204657</v>
      </c>
      <c r="E242" t="s">
        <v>608</v>
      </c>
      <c r="F242" t="s">
        <v>609</v>
      </c>
      <c r="G242">
        <v>1</v>
      </c>
      <c r="H242" t="s">
        <v>18</v>
      </c>
      <c r="I242" t="s">
        <v>51</v>
      </c>
      <c r="J242" t="s">
        <v>52</v>
      </c>
      <c r="L242" t="s">
        <v>18</v>
      </c>
      <c r="M242" t="s">
        <v>610</v>
      </c>
    </row>
    <row r="243" spans="2:13" x14ac:dyDescent="0.25">
      <c r="B243" t="s">
        <v>585</v>
      </c>
      <c r="C243">
        <v>17719505</v>
      </c>
      <c r="D243" t="str">
        <f>"4607155204664"</f>
        <v>4607155204664</v>
      </c>
      <c r="E243" t="s">
        <v>611</v>
      </c>
      <c r="F243" t="s">
        <v>491</v>
      </c>
      <c r="G243">
        <v>1</v>
      </c>
      <c r="H243" t="s">
        <v>18</v>
      </c>
      <c r="I243" t="s">
        <v>51</v>
      </c>
      <c r="J243" t="s">
        <v>52</v>
      </c>
      <c r="L243" t="s">
        <v>18</v>
      </c>
      <c r="M243" t="s">
        <v>612</v>
      </c>
    </row>
    <row r="244" spans="2:13" x14ac:dyDescent="0.25">
      <c r="B244" t="s">
        <v>585</v>
      </c>
      <c r="C244">
        <v>17719530</v>
      </c>
      <c r="D244" t="str">
        <f>"4607155204695"</f>
        <v>4607155204695</v>
      </c>
      <c r="E244" t="s">
        <v>613</v>
      </c>
      <c r="F244" t="s">
        <v>114</v>
      </c>
      <c r="G244">
        <v>1</v>
      </c>
      <c r="H244" t="s">
        <v>18</v>
      </c>
      <c r="I244" t="s">
        <v>51</v>
      </c>
      <c r="J244" t="s">
        <v>52</v>
      </c>
      <c r="L244" t="s">
        <v>18</v>
      </c>
      <c r="M244" t="s">
        <v>614</v>
      </c>
    </row>
    <row r="245" spans="2:13" x14ac:dyDescent="0.25">
      <c r="B245" t="s">
        <v>585</v>
      </c>
      <c r="C245">
        <v>17806756</v>
      </c>
      <c r="D245" t="str">
        <f>"4600779013636"</f>
        <v>4600779013636</v>
      </c>
      <c r="E245" t="s">
        <v>615</v>
      </c>
      <c r="F245" t="s">
        <v>24</v>
      </c>
      <c r="G245">
        <v>1</v>
      </c>
      <c r="H245" t="s">
        <v>18</v>
      </c>
      <c r="I245" t="s">
        <v>51</v>
      </c>
      <c r="J245" t="s">
        <v>115</v>
      </c>
      <c r="L245" t="s">
        <v>18</v>
      </c>
      <c r="M245" t="s">
        <v>616</v>
      </c>
    </row>
    <row r="246" spans="2:13" x14ac:dyDescent="0.25">
      <c r="B246" t="s">
        <v>585</v>
      </c>
      <c r="C246">
        <v>17806772</v>
      </c>
      <c r="D246" t="str">
        <f>"4600779013667"</f>
        <v>4600779013667</v>
      </c>
      <c r="E246" t="s">
        <v>617</v>
      </c>
      <c r="F246" t="s">
        <v>21</v>
      </c>
      <c r="G246">
        <v>1</v>
      </c>
      <c r="H246" t="s">
        <v>18</v>
      </c>
      <c r="I246" t="s">
        <v>51</v>
      </c>
      <c r="J246" t="s">
        <v>115</v>
      </c>
      <c r="L246" t="s">
        <v>18</v>
      </c>
      <c r="M246" t="s">
        <v>616</v>
      </c>
    </row>
    <row r="247" spans="2:13" x14ac:dyDescent="0.25">
      <c r="B247" t="s">
        <v>585</v>
      </c>
      <c r="C247">
        <v>18017935</v>
      </c>
      <c r="D247" t="str">
        <f>"4690311049605"</f>
        <v>4690311049605</v>
      </c>
      <c r="E247" t="s">
        <v>618</v>
      </c>
      <c r="F247" t="s">
        <v>109</v>
      </c>
      <c r="G247">
        <v>1</v>
      </c>
      <c r="H247" t="s">
        <v>18</v>
      </c>
      <c r="I247" t="s">
        <v>51</v>
      </c>
      <c r="J247" t="s">
        <v>175</v>
      </c>
      <c r="L247" t="s">
        <v>18</v>
      </c>
      <c r="M247" t="s">
        <v>619</v>
      </c>
    </row>
    <row r="248" spans="2:13" x14ac:dyDescent="0.25">
      <c r="B248" t="s">
        <v>585</v>
      </c>
      <c r="C248">
        <v>18387522</v>
      </c>
      <c r="D248" t="str">
        <f>"4600779018280"</f>
        <v>4600779018280</v>
      </c>
      <c r="E248" t="s">
        <v>620</v>
      </c>
      <c r="F248" t="s">
        <v>285</v>
      </c>
      <c r="G248">
        <v>1</v>
      </c>
      <c r="H248" t="s">
        <v>15</v>
      </c>
      <c r="I248" t="s">
        <v>51</v>
      </c>
      <c r="J248" t="s">
        <v>115</v>
      </c>
      <c r="L248" t="s">
        <v>18</v>
      </c>
      <c r="M248" t="s">
        <v>621</v>
      </c>
    </row>
    <row r="249" spans="2:13" x14ac:dyDescent="0.25">
      <c r="B249" t="s">
        <v>622</v>
      </c>
      <c r="C249">
        <v>12072562</v>
      </c>
      <c r="D249" t="str">
        <f>"4607062692011"</f>
        <v>4607062692011</v>
      </c>
      <c r="E249" t="s">
        <v>623</v>
      </c>
      <c r="F249" t="s">
        <v>624</v>
      </c>
      <c r="G249">
        <v>1</v>
      </c>
      <c r="H249" t="s">
        <v>18</v>
      </c>
      <c r="I249" t="s">
        <v>16</v>
      </c>
      <c r="J249" t="s">
        <v>55</v>
      </c>
      <c r="L249" t="s">
        <v>18</v>
      </c>
      <c r="M249" t="s">
        <v>625</v>
      </c>
    </row>
    <row r="250" spans="2:13" x14ac:dyDescent="0.25">
      <c r="B250" t="s">
        <v>622</v>
      </c>
      <c r="C250">
        <v>12072722</v>
      </c>
      <c r="D250" t="str">
        <f>"4607062692417"</f>
        <v>4607062692417</v>
      </c>
      <c r="E250" t="s">
        <v>626</v>
      </c>
      <c r="F250" t="s">
        <v>285</v>
      </c>
      <c r="G250">
        <v>1</v>
      </c>
      <c r="H250" t="s">
        <v>18</v>
      </c>
      <c r="I250" t="s">
        <v>16</v>
      </c>
      <c r="J250" t="s">
        <v>55</v>
      </c>
      <c r="L250" t="s">
        <v>18</v>
      </c>
      <c r="M250" t="s">
        <v>627</v>
      </c>
    </row>
    <row r="251" spans="2:13" x14ac:dyDescent="0.25">
      <c r="B251" t="s">
        <v>622</v>
      </c>
      <c r="C251">
        <v>12072896</v>
      </c>
      <c r="D251" t="str">
        <f>"4607062692028"</f>
        <v>4607062692028</v>
      </c>
      <c r="E251" t="s">
        <v>628</v>
      </c>
      <c r="F251" t="s">
        <v>357</v>
      </c>
      <c r="G251">
        <v>1</v>
      </c>
      <c r="H251" t="s">
        <v>18</v>
      </c>
      <c r="I251" t="s">
        <v>16</v>
      </c>
      <c r="J251" t="s">
        <v>55</v>
      </c>
      <c r="L251" t="s">
        <v>18</v>
      </c>
      <c r="M251" t="s">
        <v>629</v>
      </c>
    </row>
    <row r="252" spans="2:13" x14ac:dyDescent="0.25">
      <c r="B252" t="s">
        <v>622</v>
      </c>
      <c r="C252">
        <v>12073178</v>
      </c>
      <c r="D252" t="str">
        <f>"4607062692448"</f>
        <v>4607062692448</v>
      </c>
      <c r="E252" t="s">
        <v>630</v>
      </c>
      <c r="F252" t="s">
        <v>413</v>
      </c>
      <c r="G252">
        <v>1</v>
      </c>
      <c r="H252" t="s">
        <v>18</v>
      </c>
      <c r="I252" t="s">
        <v>16</v>
      </c>
      <c r="J252" t="s">
        <v>55</v>
      </c>
      <c r="L252" t="s">
        <v>18</v>
      </c>
      <c r="M252" t="s">
        <v>631</v>
      </c>
    </row>
    <row r="253" spans="2:13" x14ac:dyDescent="0.25">
      <c r="B253" t="s">
        <v>622</v>
      </c>
      <c r="C253">
        <v>12443212</v>
      </c>
      <c r="D253" t="str">
        <f>"4607062698013"</f>
        <v>4607062698013</v>
      </c>
      <c r="E253" t="s">
        <v>632</v>
      </c>
      <c r="F253" t="s">
        <v>48</v>
      </c>
      <c r="G253">
        <v>0</v>
      </c>
      <c r="H253" t="s">
        <v>18</v>
      </c>
      <c r="I253" t="s">
        <v>16</v>
      </c>
      <c r="J253" t="s">
        <v>55</v>
      </c>
      <c r="L253" t="s">
        <v>18</v>
      </c>
      <c r="M253" t="s">
        <v>633</v>
      </c>
    </row>
    <row r="254" spans="2:13" x14ac:dyDescent="0.25">
      <c r="B254" t="s">
        <v>622</v>
      </c>
      <c r="C254">
        <v>12443220</v>
      </c>
      <c r="D254" t="str">
        <f>"4607062698020"</f>
        <v>4607062698020</v>
      </c>
      <c r="E254" t="s">
        <v>634</v>
      </c>
      <c r="F254" t="s">
        <v>43</v>
      </c>
      <c r="G254">
        <v>0</v>
      </c>
      <c r="H254" t="s">
        <v>18</v>
      </c>
      <c r="I254" t="s">
        <v>16</v>
      </c>
      <c r="J254" t="s">
        <v>55</v>
      </c>
      <c r="L254" t="s">
        <v>18</v>
      </c>
      <c r="M254" t="s">
        <v>635</v>
      </c>
    </row>
    <row r="255" spans="2:13" x14ac:dyDescent="0.25">
      <c r="B255" t="s">
        <v>622</v>
      </c>
      <c r="C255">
        <v>12443239</v>
      </c>
      <c r="D255" t="str">
        <f>"4607062699010"</f>
        <v>4607062699010</v>
      </c>
      <c r="E255" t="s">
        <v>636</v>
      </c>
      <c r="F255" t="s">
        <v>14</v>
      </c>
      <c r="G255">
        <v>0</v>
      </c>
      <c r="H255" t="s">
        <v>18</v>
      </c>
      <c r="I255" t="s">
        <v>16</v>
      </c>
      <c r="J255" t="s">
        <v>55</v>
      </c>
      <c r="L255" t="s">
        <v>18</v>
      </c>
      <c r="M255" t="s">
        <v>637</v>
      </c>
    </row>
    <row r="256" spans="2:13" x14ac:dyDescent="0.25">
      <c r="B256" t="s">
        <v>622</v>
      </c>
      <c r="C256">
        <v>12443247</v>
      </c>
      <c r="D256" t="str">
        <f>"4607062699027"</f>
        <v>4607062699027</v>
      </c>
      <c r="E256" t="s">
        <v>638</v>
      </c>
      <c r="F256" t="s">
        <v>285</v>
      </c>
      <c r="G256">
        <v>0</v>
      </c>
      <c r="H256" t="s">
        <v>18</v>
      </c>
      <c r="I256" t="s">
        <v>16</v>
      </c>
      <c r="J256" t="s">
        <v>55</v>
      </c>
      <c r="L256" t="s">
        <v>18</v>
      </c>
      <c r="M256" t="s">
        <v>639</v>
      </c>
    </row>
    <row r="257" spans="2:13" x14ac:dyDescent="0.25">
      <c r="B257" t="s">
        <v>622</v>
      </c>
      <c r="C257">
        <v>13679868</v>
      </c>
      <c r="D257" t="str">
        <f>"4607062695036"</f>
        <v>4607062695036</v>
      </c>
      <c r="E257" t="s">
        <v>640</v>
      </c>
      <c r="F257" t="s">
        <v>109</v>
      </c>
      <c r="G257">
        <v>1</v>
      </c>
      <c r="H257" t="s">
        <v>18</v>
      </c>
      <c r="I257" t="s">
        <v>16</v>
      </c>
      <c r="J257" t="s">
        <v>55</v>
      </c>
      <c r="L257" t="s">
        <v>18</v>
      </c>
      <c r="M257" t="s">
        <v>641</v>
      </c>
    </row>
    <row r="258" spans="2:13" x14ac:dyDescent="0.25">
      <c r="B258" t="s">
        <v>622</v>
      </c>
      <c r="C258">
        <v>13679876</v>
      </c>
      <c r="D258" t="str">
        <f>"4607062695043"</f>
        <v>4607062695043</v>
      </c>
      <c r="E258" t="s">
        <v>642</v>
      </c>
      <c r="F258" t="s">
        <v>285</v>
      </c>
      <c r="G258">
        <v>1</v>
      </c>
      <c r="H258" t="s">
        <v>18</v>
      </c>
      <c r="I258" t="s">
        <v>16</v>
      </c>
      <c r="J258" t="s">
        <v>55</v>
      </c>
      <c r="L258" t="s">
        <v>18</v>
      </c>
      <c r="M258" t="s">
        <v>643</v>
      </c>
    </row>
    <row r="259" spans="2:13" x14ac:dyDescent="0.25">
      <c r="B259" t="s">
        <v>622</v>
      </c>
      <c r="C259">
        <v>13679884</v>
      </c>
      <c r="D259" t="str">
        <f>"4607062695159"</f>
        <v>4607062695159</v>
      </c>
      <c r="E259" t="s">
        <v>644</v>
      </c>
      <c r="F259" t="s">
        <v>366</v>
      </c>
      <c r="G259">
        <v>1</v>
      </c>
      <c r="H259" t="s">
        <v>18</v>
      </c>
      <c r="I259" t="s">
        <v>16</v>
      </c>
      <c r="J259" t="s">
        <v>55</v>
      </c>
      <c r="L259" t="s">
        <v>18</v>
      </c>
      <c r="M259" t="s">
        <v>641</v>
      </c>
    </row>
    <row r="260" spans="2:13" x14ac:dyDescent="0.25">
      <c r="B260" t="s">
        <v>622</v>
      </c>
      <c r="C260">
        <v>13679913</v>
      </c>
      <c r="D260" t="str">
        <f>"4607062695166"</f>
        <v>4607062695166</v>
      </c>
      <c r="E260" t="s">
        <v>645</v>
      </c>
      <c r="F260" t="s">
        <v>165</v>
      </c>
      <c r="G260">
        <v>1</v>
      </c>
      <c r="H260" t="s">
        <v>18</v>
      </c>
      <c r="I260" t="s">
        <v>16</v>
      </c>
      <c r="J260" t="s">
        <v>55</v>
      </c>
      <c r="L260" t="s">
        <v>18</v>
      </c>
      <c r="M260" t="s">
        <v>643</v>
      </c>
    </row>
    <row r="261" spans="2:13" x14ac:dyDescent="0.25">
      <c r="B261" t="s">
        <v>622</v>
      </c>
      <c r="C261">
        <v>13679964</v>
      </c>
      <c r="D261" t="str">
        <f>"4607062692547"</f>
        <v>4607062692547</v>
      </c>
      <c r="E261" t="s">
        <v>646</v>
      </c>
      <c r="F261" t="s">
        <v>389</v>
      </c>
      <c r="G261">
        <v>1</v>
      </c>
      <c r="H261" t="s">
        <v>18</v>
      </c>
      <c r="I261" t="s">
        <v>16</v>
      </c>
      <c r="J261" t="s">
        <v>55</v>
      </c>
      <c r="L261" t="s">
        <v>18</v>
      </c>
      <c r="M261" t="s">
        <v>647</v>
      </c>
    </row>
    <row r="262" spans="2:13" x14ac:dyDescent="0.25">
      <c r="B262" t="s">
        <v>622</v>
      </c>
      <c r="C262">
        <v>13679980</v>
      </c>
      <c r="D262" t="str">
        <f>"4607062692097"</f>
        <v>4607062692097</v>
      </c>
      <c r="E262" t="s">
        <v>648</v>
      </c>
      <c r="F262" t="s">
        <v>649</v>
      </c>
      <c r="G262">
        <v>1</v>
      </c>
      <c r="H262" t="s">
        <v>18</v>
      </c>
      <c r="I262" t="s">
        <v>16</v>
      </c>
      <c r="J262" t="s">
        <v>55</v>
      </c>
      <c r="L262" t="s">
        <v>18</v>
      </c>
      <c r="M262" t="s">
        <v>650</v>
      </c>
    </row>
    <row r="263" spans="2:13" x14ac:dyDescent="0.25">
      <c r="B263" t="s">
        <v>622</v>
      </c>
      <c r="C263">
        <v>13684165</v>
      </c>
      <c r="D263" t="str">
        <f>"4607062695234"</f>
        <v>4607062695234</v>
      </c>
      <c r="E263" t="s">
        <v>651</v>
      </c>
      <c r="F263" t="s">
        <v>389</v>
      </c>
      <c r="G263">
        <v>1</v>
      </c>
      <c r="H263" t="s">
        <v>18</v>
      </c>
      <c r="I263" t="s">
        <v>16</v>
      </c>
      <c r="J263" t="s">
        <v>55</v>
      </c>
      <c r="L263" t="s">
        <v>18</v>
      </c>
      <c r="M263" t="s">
        <v>641</v>
      </c>
    </row>
    <row r="264" spans="2:13" x14ac:dyDescent="0.25">
      <c r="B264" t="s">
        <v>622</v>
      </c>
      <c r="C264">
        <v>13684229</v>
      </c>
      <c r="D264" t="str">
        <f>"4607062695173"</f>
        <v>4607062695173</v>
      </c>
      <c r="E264" t="s">
        <v>652</v>
      </c>
      <c r="F264" t="s">
        <v>649</v>
      </c>
      <c r="G264">
        <v>1</v>
      </c>
      <c r="H264" t="s">
        <v>18</v>
      </c>
      <c r="I264" t="s">
        <v>16</v>
      </c>
      <c r="J264" t="s">
        <v>55</v>
      </c>
      <c r="L264" t="s">
        <v>18</v>
      </c>
      <c r="M264" t="s">
        <v>641</v>
      </c>
    </row>
    <row r="265" spans="2:13" x14ac:dyDescent="0.25">
      <c r="B265" t="s">
        <v>622</v>
      </c>
      <c r="C265">
        <v>13684237</v>
      </c>
      <c r="D265" t="str">
        <f>"4607062695180"</f>
        <v>4607062695180</v>
      </c>
      <c r="E265" t="s">
        <v>653</v>
      </c>
      <c r="F265" t="s">
        <v>525</v>
      </c>
      <c r="G265">
        <v>1</v>
      </c>
      <c r="H265" t="s">
        <v>18</v>
      </c>
      <c r="I265" t="s">
        <v>16</v>
      </c>
      <c r="J265" t="s">
        <v>55</v>
      </c>
      <c r="L265" t="s">
        <v>18</v>
      </c>
      <c r="M265" t="s">
        <v>643</v>
      </c>
    </row>
    <row r="266" spans="2:13" x14ac:dyDescent="0.25">
      <c r="B266" t="s">
        <v>622</v>
      </c>
      <c r="C266">
        <v>13684261</v>
      </c>
      <c r="D266" t="str">
        <f>"4607062695135"</f>
        <v>4607062695135</v>
      </c>
      <c r="E266" t="s">
        <v>654</v>
      </c>
      <c r="F266" t="s">
        <v>277</v>
      </c>
      <c r="G266">
        <v>1</v>
      </c>
      <c r="H266" t="s">
        <v>18</v>
      </c>
      <c r="I266" t="s">
        <v>16</v>
      </c>
      <c r="J266" t="s">
        <v>55</v>
      </c>
      <c r="L266" t="s">
        <v>18</v>
      </c>
      <c r="M266" t="s">
        <v>641</v>
      </c>
    </row>
    <row r="267" spans="2:13" x14ac:dyDescent="0.25">
      <c r="B267" t="s">
        <v>622</v>
      </c>
      <c r="C267">
        <v>13684288</v>
      </c>
      <c r="D267" t="str">
        <f>"4607062695142"</f>
        <v>4607062695142</v>
      </c>
      <c r="E267" t="s">
        <v>655</v>
      </c>
      <c r="F267" t="s">
        <v>277</v>
      </c>
      <c r="G267">
        <v>1</v>
      </c>
      <c r="H267" t="s">
        <v>18</v>
      </c>
      <c r="I267" t="s">
        <v>16</v>
      </c>
      <c r="J267" t="s">
        <v>55</v>
      </c>
      <c r="L267" t="s">
        <v>18</v>
      </c>
      <c r="M267" t="s">
        <v>643</v>
      </c>
    </row>
    <row r="268" spans="2:13" x14ac:dyDescent="0.25">
      <c r="B268" t="s">
        <v>622</v>
      </c>
      <c r="C268">
        <v>14362580</v>
      </c>
      <c r="D268" t="str">
        <f>"4607062698129"</f>
        <v>4607062698129</v>
      </c>
      <c r="E268" t="s">
        <v>656</v>
      </c>
      <c r="F268" t="s">
        <v>109</v>
      </c>
      <c r="G268">
        <v>1</v>
      </c>
      <c r="H268" t="s">
        <v>18</v>
      </c>
      <c r="I268" t="s">
        <v>51</v>
      </c>
      <c r="J268" t="s">
        <v>55</v>
      </c>
      <c r="L268" t="s">
        <v>18</v>
      </c>
      <c r="M268" t="s">
        <v>657</v>
      </c>
    </row>
    <row r="269" spans="2:13" x14ac:dyDescent="0.25">
      <c r="B269" t="s">
        <v>622</v>
      </c>
      <c r="C269">
        <v>15860388</v>
      </c>
      <c r="D269" t="str">
        <f>"4607062698310"</f>
        <v>4607062698310</v>
      </c>
      <c r="E269" t="s">
        <v>658</v>
      </c>
      <c r="F269" t="s">
        <v>165</v>
      </c>
      <c r="G269">
        <v>1</v>
      </c>
      <c r="H269" t="s">
        <v>18</v>
      </c>
      <c r="I269" t="s">
        <v>51</v>
      </c>
      <c r="J269" t="s">
        <v>55</v>
      </c>
      <c r="L269" t="s">
        <v>18</v>
      </c>
      <c r="M269" t="s">
        <v>659</v>
      </c>
    </row>
    <row r="270" spans="2:13" x14ac:dyDescent="0.25">
      <c r="B270" t="s">
        <v>622</v>
      </c>
      <c r="C270">
        <v>15860425</v>
      </c>
      <c r="D270" t="str">
        <f>"4607062698358"</f>
        <v>4607062698358</v>
      </c>
      <c r="E270" t="s">
        <v>660</v>
      </c>
      <c r="F270" t="s">
        <v>191</v>
      </c>
      <c r="G270">
        <v>1</v>
      </c>
      <c r="H270" t="s">
        <v>18</v>
      </c>
      <c r="I270" t="s">
        <v>51</v>
      </c>
      <c r="J270" t="s">
        <v>55</v>
      </c>
      <c r="L270" t="s">
        <v>18</v>
      </c>
      <c r="M270" t="s">
        <v>659</v>
      </c>
    </row>
    <row r="271" spans="2:13" x14ac:dyDescent="0.25">
      <c r="B271" t="s">
        <v>661</v>
      </c>
      <c r="C271">
        <v>14188606</v>
      </c>
      <c r="D271" t="str">
        <f>"4600779997523"</f>
        <v>4600779997523</v>
      </c>
      <c r="E271" t="s">
        <v>662</v>
      </c>
      <c r="F271" t="s">
        <v>227</v>
      </c>
      <c r="G271">
        <v>1</v>
      </c>
      <c r="H271" t="s">
        <v>18</v>
      </c>
      <c r="I271" t="s">
        <v>16</v>
      </c>
      <c r="J271" t="s">
        <v>115</v>
      </c>
      <c r="L271" t="s">
        <v>18</v>
      </c>
      <c r="M271" t="s">
        <v>625</v>
      </c>
    </row>
    <row r="272" spans="2:13" x14ac:dyDescent="0.25">
      <c r="B272" t="s">
        <v>661</v>
      </c>
      <c r="C272">
        <v>49076030</v>
      </c>
      <c r="E272" t="s">
        <v>663</v>
      </c>
      <c r="G272">
        <v>1</v>
      </c>
      <c r="H272" t="s">
        <v>18</v>
      </c>
      <c r="I272" t="s">
        <v>16</v>
      </c>
      <c r="L272" t="s">
        <v>18</v>
      </c>
      <c r="M272" t="s">
        <v>224</v>
      </c>
    </row>
    <row r="273" spans="2:13" x14ac:dyDescent="0.25">
      <c r="B273" t="s">
        <v>664</v>
      </c>
      <c r="C273">
        <v>18128352</v>
      </c>
      <c r="D273" t="str">
        <f>"3276000254065"</f>
        <v>3276000254065</v>
      </c>
      <c r="E273" t="s">
        <v>665</v>
      </c>
      <c r="F273" t="s">
        <v>31</v>
      </c>
      <c r="G273">
        <v>1</v>
      </c>
      <c r="H273" t="s">
        <v>15</v>
      </c>
      <c r="I273" t="s">
        <v>16</v>
      </c>
      <c r="J273" t="s">
        <v>28</v>
      </c>
      <c r="L273" t="s">
        <v>18</v>
      </c>
      <c r="M273" t="s">
        <v>666</v>
      </c>
    </row>
    <row r="274" spans="2:13" x14ac:dyDescent="0.25">
      <c r="B274" t="s">
        <v>664</v>
      </c>
      <c r="C274">
        <v>18128361</v>
      </c>
      <c r="D274" t="str">
        <f>"3276000254058"</f>
        <v>3276000254058</v>
      </c>
      <c r="E274" t="s">
        <v>667</v>
      </c>
      <c r="F274" t="s">
        <v>194</v>
      </c>
      <c r="G274">
        <v>1</v>
      </c>
      <c r="H274" t="s">
        <v>15</v>
      </c>
      <c r="I274" t="s">
        <v>16</v>
      </c>
      <c r="J274" t="s">
        <v>28</v>
      </c>
      <c r="L274" t="s">
        <v>18</v>
      </c>
      <c r="M274" t="s">
        <v>666</v>
      </c>
    </row>
    <row r="275" spans="2:13" x14ac:dyDescent="0.25">
      <c r="B275" t="s">
        <v>664</v>
      </c>
      <c r="C275">
        <v>18218673</v>
      </c>
      <c r="D275" t="str">
        <f>"4627102140456"</f>
        <v>4627102140456</v>
      </c>
      <c r="E275" t="s">
        <v>668</v>
      </c>
      <c r="F275" t="s">
        <v>27</v>
      </c>
      <c r="G275">
        <v>1</v>
      </c>
      <c r="H275" t="s">
        <v>18</v>
      </c>
      <c r="I275" t="s">
        <v>16</v>
      </c>
      <c r="J275" t="s">
        <v>37</v>
      </c>
      <c r="L275" t="s">
        <v>18</v>
      </c>
      <c r="M275" t="s">
        <v>669</v>
      </c>
    </row>
    <row r="276" spans="2:13" x14ac:dyDescent="0.25">
      <c r="B276" t="s">
        <v>670</v>
      </c>
      <c r="C276">
        <v>13575890</v>
      </c>
      <c r="D276" t="str">
        <f>"2000135758904"</f>
        <v>2000135758904</v>
      </c>
      <c r="E276" t="s">
        <v>671</v>
      </c>
      <c r="F276" t="s">
        <v>34</v>
      </c>
      <c r="G276">
        <v>1</v>
      </c>
      <c r="H276" t="s">
        <v>15</v>
      </c>
      <c r="I276" t="s">
        <v>51</v>
      </c>
      <c r="J276" t="s">
        <v>239</v>
      </c>
      <c r="L276" t="s">
        <v>18</v>
      </c>
      <c r="M276" t="s">
        <v>672</v>
      </c>
    </row>
    <row r="277" spans="2:13" x14ac:dyDescent="0.25">
      <c r="B277" t="s">
        <v>670</v>
      </c>
      <c r="C277">
        <v>13575938</v>
      </c>
      <c r="D277" t="str">
        <f>"2000135759383"</f>
        <v>2000135759383</v>
      </c>
      <c r="E277" t="s">
        <v>673</v>
      </c>
      <c r="F277" t="s">
        <v>194</v>
      </c>
      <c r="G277">
        <v>0</v>
      </c>
      <c r="H277" t="s">
        <v>15</v>
      </c>
      <c r="I277" t="s">
        <v>51</v>
      </c>
      <c r="J277" t="s">
        <v>239</v>
      </c>
      <c r="L277" t="s">
        <v>18</v>
      </c>
      <c r="M277" t="s">
        <v>674</v>
      </c>
    </row>
    <row r="278" spans="2:13" x14ac:dyDescent="0.25">
      <c r="B278" t="s">
        <v>670</v>
      </c>
      <c r="C278">
        <v>15674083</v>
      </c>
      <c r="D278" t="str">
        <f>"3276005463554"</f>
        <v>3276005463554</v>
      </c>
      <c r="E278" t="s">
        <v>675</v>
      </c>
      <c r="F278" t="s">
        <v>194</v>
      </c>
      <c r="G278">
        <v>0</v>
      </c>
      <c r="H278" t="s">
        <v>15</v>
      </c>
      <c r="I278" t="s">
        <v>16</v>
      </c>
      <c r="J278" t="s">
        <v>17</v>
      </c>
      <c r="L278" t="s">
        <v>18</v>
      </c>
      <c r="M278" t="s">
        <v>676</v>
      </c>
    </row>
    <row r="279" spans="2:13" x14ac:dyDescent="0.25">
      <c r="B279" t="s">
        <v>670</v>
      </c>
      <c r="C279">
        <v>15674104</v>
      </c>
      <c r="D279" t="str">
        <f>"3276005463493"</f>
        <v>3276005463493</v>
      </c>
      <c r="E279" t="s">
        <v>677</v>
      </c>
      <c r="F279" t="s">
        <v>34</v>
      </c>
      <c r="G279">
        <v>0</v>
      </c>
      <c r="H279" t="s">
        <v>15</v>
      </c>
      <c r="I279" t="s">
        <v>16</v>
      </c>
      <c r="J279" t="s">
        <v>28</v>
      </c>
      <c r="L279" t="s">
        <v>18</v>
      </c>
      <c r="M279" t="s">
        <v>678</v>
      </c>
    </row>
    <row r="280" spans="2:13" x14ac:dyDescent="0.25">
      <c r="B280" t="s">
        <v>670</v>
      </c>
      <c r="C280">
        <v>17384303</v>
      </c>
      <c r="D280" t="str">
        <f>"3276005816497"</f>
        <v>3276005816497</v>
      </c>
      <c r="E280" t="s">
        <v>679</v>
      </c>
      <c r="F280" t="s">
        <v>31</v>
      </c>
      <c r="G280">
        <v>0</v>
      </c>
      <c r="H280" t="s">
        <v>18</v>
      </c>
      <c r="I280" t="s">
        <v>680</v>
      </c>
      <c r="J280" t="s">
        <v>28</v>
      </c>
      <c r="L280" t="s">
        <v>18</v>
      </c>
      <c r="M280" t="s">
        <v>681</v>
      </c>
    </row>
    <row r="281" spans="2:13" x14ac:dyDescent="0.25">
      <c r="B281" t="s">
        <v>670</v>
      </c>
      <c r="C281">
        <v>17481293</v>
      </c>
      <c r="D281" t="str">
        <f>"3276005514393"</f>
        <v>3276005514393</v>
      </c>
      <c r="E281" t="s">
        <v>682</v>
      </c>
      <c r="F281" t="s">
        <v>14</v>
      </c>
      <c r="G281">
        <v>1</v>
      </c>
      <c r="H281" t="s">
        <v>15</v>
      </c>
      <c r="I281" t="s">
        <v>16</v>
      </c>
      <c r="J281" t="s">
        <v>17</v>
      </c>
      <c r="L281" t="s">
        <v>18</v>
      </c>
      <c r="M281" t="s">
        <v>683</v>
      </c>
    </row>
    <row r="282" spans="2:13" x14ac:dyDescent="0.25">
      <c r="B282" t="s">
        <v>670</v>
      </c>
      <c r="C282">
        <v>18120191</v>
      </c>
      <c r="D282" t="str">
        <f>"3276000250449"</f>
        <v>3276000250449</v>
      </c>
      <c r="E282" t="s">
        <v>684</v>
      </c>
      <c r="F282" t="s">
        <v>194</v>
      </c>
      <c r="G282">
        <v>1</v>
      </c>
      <c r="H282" t="s">
        <v>15</v>
      </c>
      <c r="I282" t="s">
        <v>16</v>
      </c>
      <c r="J282" t="s">
        <v>28</v>
      </c>
      <c r="L282" t="s">
        <v>18</v>
      </c>
      <c r="M282" t="s">
        <v>685</v>
      </c>
    </row>
    <row r="283" spans="2:13" x14ac:dyDescent="0.25">
      <c r="B283" t="s">
        <v>670</v>
      </c>
      <c r="C283">
        <v>18120211</v>
      </c>
      <c r="D283" t="str">
        <f>"3276000250425"</f>
        <v>3276000250425</v>
      </c>
      <c r="E283" t="s">
        <v>686</v>
      </c>
      <c r="F283" t="s">
        <v>48</v>
      </c>
      <c r="G283">
        <v>1</v>
      </c>
      <c r="H283" t="s">
        <v>15</v>
      </c>
      <c r="I283" t="s">
        <v>16</v>
      </c>
      <c r="J283" t="s">
        <v>28</v>
      </c>
      <c r="L283" t="s">
        <v>18</v>
      </c>
      <c r="M283" t="s">
        <v>687</v>
      </c>
    </row>
    <row r="284" spans="2:13" x14ac:dyDescent="0.25">
      <c r="B284" t="s">
        <v>670</v>
      </c>
      <c r="C284">
        <v>18128176</v>
      </c>
      <c r="D284" t="str">
        <f>"3276000250500"</f>
        <v>3276000250500</v>
      </c>
      <c r="E284" t="s">
        <v>688</v>
      </c>
      <c r="F284" t="s">
        <v>227</v>
      </c>
      <c r="G284">
        <v>1</v>
      </c>
      <c r="H284" t="s">
        <v>15</v>
      </c>
      <c r="I284" t="s">
        <v>16</v>
      </c>
      <c r="J284" t="s">
        <v>28</v>
      </c>
      <c r="L284" t="s">
        <v>18</v>
      </c>
      <c r="M284" t="s">
        <v>689</v>
      </c>
    </row>
    <row r="285" spans="2:13" x14ac:dyDescent="0.25">
      <c r="B285" t="s">
        <v>670</v>
      </c>
      <c r="C285">
        <v>18128192</v>
      </c>
      <c r="D285" t="str">
        <f>"3276000250517"</f>
        <v>3276000250517</v>
      </c>
      <c r="E285" t="s">
        <v>690</v>
      </c>
      <c r="F285" t="s">
        <v>268</v>
      </c>
      <c r="G285">
        <v>1</v>
      </c>
      <c r="H285" t="s">
        <v>15</v>
      </c>
      <c r="I285" t="s">
        <v>16</v>
      </c>
      <c r="J285" t="s">
        <v>28</v>
      </c>
      <c r="L285" t="s">
        <v>18</v>
      </c>
      <c r="M285" t="s">
        <v>691</v>
      </c>
    </row>
    <row r="286" spans="2:13" x14ac:dyDescent="0.25">
      <c r="B286" t="s">
        <v>670</v>
      </c>
      <c r="C286">
        <v>18128230</v>
      </c>
      <c r="D286" t="str">
        <f>"3276000250487"</f>
        <v>3276000250487</v>
      </c>
      <c r="E286" t="s">
        <v>692</v>
      </c>
      <c r="F286" t="s">
        <v>31</v>
      </c>
      <c r="G286">
        <v>1</v>
      </c>
      <c r="H286" t="s">
        <v>15</v>
      </c>
      <c r="I286" t="s">
        <v>16</v>
      </c>
      <c r="J286" t="s">
        <v>28</v>
      </c>
      <c r="L286" t="s">
        <v>18</v>
      </c>
      <c r="M286" t="s">
        <v>693</v>
      </c>
    </row>
    <row r="287" spans="2:13" x14ac:dyDescent="0.25">
      <c r="B287" t="s">
        <v>670</v>
      </c>
      <c r="C287">
        <v>18128336</v>
      </c>
      <c r="D287" t="str">
        <f>"3276000254041"</f>
        <v>3276000254041</v>
      </c>
      <c r="E287" t="s">
        <v>694</v>
      </c>
      <c r="F287" t="s">
        <v>379</v>
      </c>
      <c r="G287">
        <v>1</v>
      </c>
      <c r="H287" t="s">
        <v>15</v>
      </c>
      <c r="I287" t="s">
        <v>16</v>
      </c>
      <c r="J287" t="s">
        <v>28</v>
      </c>
      <c r="L287" t="s">
        <v>18</v>
      </c>
      <c r="M287" t="s">
        <v>695</v>
      </c>
    </row>
    <row r="288" spans="2:13" x14ac:dyDescent="0.25">
      <c r="B288" t="s">
        <v>670</v>
      </c>
      <c r="C288">
        <v>18128379</v>
      </c>
      <c r="D288" t="str">
        <f>"3276000254027"</f>
        <v>3276000254027</v>
      </c>
      <c r="E288" t="s">
        <v>696</v>
      </c>
      <c r="F288" t="s">
        <v>285</v>
      </c>
      <c r="G288">
        <v>1</v>
      </c>
      <c r="H288" t="s">
        <v>15</v>
      </c>
      <c r="I288" t="s">
        <v>16</v>
      </c>
      <c r="J288" t="s">
        <v>28</v>
      </c>
      <c r="L288" t="s">
        <v>18</v>
      </c>
      <c r="M288" t="s">
        <v>697</v>
      </c>
    </row>
    <row r="289" spans="2:13" x14ac:dyDescent="0.25">
      <c r="B289" t="s">
        <v>670</v>
      </c>
      <c r="C289">
        <v>18227377</v>
      </c>
      <c r="D289" t="str">
        <f>"6931234573487"</f>
        <v>6931234573487</v>
      </c>
      <c r="E289" t="s">
        <v>698</v>
      </c>
      <c r="F289" t="s">
        <v>109</v>
      </c>
      <c r="G289">
        <v>1</v>
      </c>
      <c r="H289" t="s">
        <v>15</v>
      </c>
      <c r="I289" t="s">
        <v>16</v>
      </c>
      <c r="J289" t="s">
        <v>239</v>
      </c>
      <c r="L289" t="s">
        <v>18</v>
      </c>
      <c r="M289" t="s">
        <v>699</v>
      </c>
    </row>
    <row r="290" spans="2:13" x14ac:dyDescent="0.25">
      <c r="B290" t="s">
        <v>670</v>
      </c>
      <c r="C290">
        <v>18227385</v>
      </c>
      <c r="D290" t="str">
        <f>"6931234573494"</f>
        <v>6931234573494</v>
      </c>
      <c r="E290" t="s">
        <v>700</v>
      </c>
      <c r="F290" t="s">
        <v>191</v>
      </c>
      <c r="G290">
        <v>1</v>
      </c>
      <c r="H290" t="s">
        <v>15</v>
      </c>
      <c r="I290" t="s">
        <v>16</v>
      </c>
      <c r="J290" t="s">
        <v>239</v>
      </c>
      <c r="L290" t="s">
        <v>18</v>
      </c>
      <c r="M290" t="s">
        <v>674</v>
      </c>
    </row>
    <row r="291" spans="2:13" x14ac:dyDescent="0.25">
      <c r="B291" t="s">
        <v>670</v>
      </c>
      <c r="C291">
        <v>18308425</v>
      </c>
      <c r="D291" t="str">
        <f>"3276000269021"</f>
        <v>3276000269021</v>
      </c>
      <c r="E291" t="s">
        <v>701</v>
      </c>
      <c r="F291" t="s">
        <v>194</v>
      </c>
      <c r="G291">
        <v>1</v>
      </c>
      <c r="H291" t="s">
        <v>15</v>
      </c>
      <c r="I291" t="s">
        <v>51</v>
      </c>
      <c r="J291" t="s">
        <v>28</v>
      </c>
      <c r="L291" t="s">
        <v>18</v>
      </c>
      <c r="M291" t="s">
        <v>408</v>
      </c>
    </row>
    <row r="292" spans="2:13" x14ac:dyDescent="0.25">
      <c r="B292" t="s">
        <v>702</v>
      </c>
      <c r="C292">
        <v>15674121</v>
      </c>
      <c r="D292" t="str">
        <f>"3276005463431"</f>
        <v>3276005463431</v>
      </c>
      <c r="E292" t="s">
        <v>703</v>
      </c>
      <c r="F292" t="s">
        <v>109</v>
      </c>
      <c r="G292">
        <v>0</v>
      </c>
      <c r="H292" t="s">
        <v>15</v>
      </c>
      <c r="I292" t="s">
        <v>16</v>
      </c>
      <c r="J292" t="s">
        <v>28</v>
      </c>
      <c r="L292" t="s">
        <v>18</v>
      </c>
      <c r="M292" t="s">
        <v>704</v>
      </c>
    </row>
    <row r="293" spans="2:13" x14ac:dyDescent="0.25">
      <c r="B293" t="s">
        <v>702</v>
      </c>
      <c r="C293">
        <v>18120174</v>
      </c>
      <c r="D293" t="str">
        <f>"3276000250470"</f>
        <v>3276000250470</v>
      </c>
      <c r="E293" t="s">
        <v>705</v>
      </c>
      <c r="F293" t="s">
        <v>194</v>
      </c>
      <c r="G293">
        <v>1</v>
      </c>
      <c r="H293" t="s">
        <v>15</v>
      </c>
      <c r="I293" t="s">
        <v>16</v>
      </c>
      <c r="J293" t="s">
        <v>28</v>
      </c>
      <c r="L293" t="s">
        <v>18</v>
      </c>
      <c r="M293" t="s">
        <v>706</v>
      </c>
    </row>
    <row r="294" spans="2:13" x14ac:dyDescent="0.25">
      <c r="B294" t="s">
        <v>702</v>
      </c>
      <c r="C294">
        <v>18120182</v>
      </c>
      <c r="D294" t="str">
        <f>"3276000250463"</f>
        <v>3276000250463</v>
      </c>
      <c r="E294" t="s">
        <v>707</v>
      </c>
      <c r="F294" t="s">
        <v>227</v>
      </c>
      <c r="G294">
        <v>1</v>
      </c>
      <c r="H294" t="s">
        <v>15</v>
      </c>
      <c r="I294" t="s">
        <v>16</v>
      </c>
      <c r="J294" t="s">
        <v>28</v>
      </c>
      <c r="L294" t="s">
        <v>18</v>
      </c>
      <c r="M294" t="s">
        <v>706</v>
      </c>
    </row>
    <row r="295" spans="2:13" x14ac:dyDescent="0.25">
      <c r="B295" t="s">
        <v>702</v>
      </c>
      <c r="C295">
        <v>49071040</v>
      </c>
      <c r="E295" t="s">
        <v>708</v>
      </c>
      <c r="G295">
        <v>1</v>
      </c>
      <c r="H295" t="s">
        <v>18</v>
      </c>
      <c r="I295" t="s">
        <v>16</v>
      </c>
      <c r="L295" t="s">
        <v>18</v>
      </c>
      <c r="M295" t="s">
        <v>224</v>
      </c>
    </row>
    <row r="296" spans="2:13" x14ac:dyDescent="0.25">
      <c r="B296" t="s">
        <v>709</v>
      </c>
      <c r="C296">
        <v>13387996</v>
      </c>
      <c r="D296" t="str">
        <f>"3276004235633"</f>
        <v>3276004235633</v>
      </c>
      <c r="E296" t="s">
        <v>710</v>
      </c>
      <c r="F296" t="s">
        <v>194</v>
      </c>
      <c r="G296">
        <v>0</v>
      </c>
      <c r="H296" t="s">
        <v>15</v>
      </c>
      <c r="I296" t="s">
        <v>16</v>
      </c>
      <c r="J296" t="s">
        <v>17</v>
      </c>
      <c r="L296" t="s">
        <v>18</v>
      </c>
      <c r="M296" t="s">
        <v>711</v>
      </c>
    </row>
    <row r="297" spans="2:13" x14ac:dyDescent="0.25">
      <c r="B297" t="s">
        <v>709</v>
      </c>
      <c r="C297">
        <v>13388008</v>
      </c>
      <c r="D297" t="str">
        <f>"3276004235671"</f>
        <v>3276004235671</v>
      </c>
      <c r="E297" t="s">
        <v>712</v>
      </c>
      <c r="F297" t="s">
        <v>24</v>
      </c>
      <c r="G297">
        <v>0</v>
      </c>
      <c r="H297" t="s">
        <v>15</v>
      </c>
      <c r="I297" t="s">
        <v>16</v>
      </c>
      <c r="J297" t="s">
        <v>17</v>
      </c>
      <c r="L297" t="s">
        <v>18</v>
      </c>
      <c r="M297" t="s">
        <v>713</v>
      </c>
    </row>
    <row r="298" spans="2:13" x14ac:dyDescent="0.25">
      <c r="B298" t="s">
        <v>709</v>
      </c>
      <c r="C298">
        <v>13388040</v>
      </c>
      <c r="D298" t="str">
        <f>"3276004235435"</f>
        <v>3276004235435</v>
      </c>
      <c r="E298" t="s">
        <v>714</v>
      </c>
      <c r="F298" t="s">
        <v>43</v>
      </c>
      <c r="G298">
        <v>0</v>
      </c>
      <c r="H298" t="s">
        <v>15</v>
      </c>
      <c r="I298" t="s">
        <v>16</v>
      </c>
      <c r="J298" t="s">
        <v>28</v>
      </c>
      <c r="L298" t="s">
        <v>18</v>
      </c>
      <c r="M298" t="s">
        <v>715</v>
      </c>
    </row>
    <row r="299" spans="2:13" x14ac:dyDescent="0.25">
      <c r="B299" t="s">
        <v>709</v>
      </c>
      <c r="C299">
        <v>13414245</v>
      </c>
      <c r="D299" t="str">
        <f>"3276005265516"</f>
        <v>3276005265516</v>
      </c>
      <c r="E299" t="s">
        <v>716</v>
      </c>
      <c r="F299" t="s">
        <v>34</v>
      </c>
      <c r="G299">
        <v>0</v>
      </c>
      <c r="H299" t="s">
        <v>15</v>
      </c>
      <c r="I299" t="s">
        <v>16</v>
      </c>
      <c r="J299" t="s">
        <v>17</v>
      </c>
      <c r="L299" t="s">
        <v>18</v>
      </c>
      <c r="M299" t="s">
        <v>717</v>
      </c>
    </row>
    <row r="300" spans="2:13" x14ac:dyDescent="0.25">
      <c r="B300" t="s">
        <v>709</v>
      </c>
      <c r="C300">
        <v>18128205</v>
      </c>
      <c r="D300" t="str">
        <f>"3276000250579"</f>
        <v>3276000250579</v>
      </c>
      <c r="E300" t="s">
        <v>718</v>
      </c>
      <c r="F300" t="s">
        <v>191</v>
      </c>
      <c r="G300">
        <v>1</v>
      </c>
      <c r="H300" t="s">
        <v>15</v>
      </c>
      <c r="I300" t="s">
        <v>16</v>
      </c>
      <c r="J300" t="s">
        <v>28</v>
      </c>
      <c r="L300" t="s">
        <v>18</v>
      </c>
      <c r="M300" t="s">
        <v>719</v>
      </c>
    </row>
    <row r="301" spans="2:13" x14ac:dyDescent="0.25">
      <c r="B301" t="s">
        <v>709</v>
      </c>
      <c r="C301">
        <v>18128213</v>
      </c>
      <c r="D301" t="str">
        <f>"3276000250562"</f>
        <v>3276000250562</v>
      </c>
      <c r="E301" t="s">
        <v>720</v>
      </c>
      <c r="F301" t="s">
        <v>43</v>
      </c>
      <c r="G301">
        <v>1</v>
      </c>
      <c r="H301" t="s">
        <v>15</v>
      </c>
      <c r="I301" t="s">
        <v>16</v>
      </c>
      <c r="J301" t="s">
        <v>28</v>
      </c>
      <c r="L301" t="s">
        <v>18</v>
      </c>
      <c r="M301" t="s">
        <v>693</v>
      </c>
    </row>
    <row r="302" spans="2:13" x14ac:dyDescent="0.25">
      <c r="B302" t="s">
        <v>709</v>
      </c>
      <c r="C302">
        <v>18218593</v>
      </c>
      <c r="D302" t="str">
        <f>"4627102140371"</f>
        <v>4627102140371</v>
      </c>
      <c r="E302" t="s">
        <v>721</v>
      </c>
      <c r="F302" t="s">
        <v>27</v>
      </c>
      <c r="G302">
        <v>1</v>
      </c>
      <c r="H302" t="s">
        <v>18</v>
      </c>
      <c r="I302" t="s">
        <v>16</v>
      </c>
      <c r="J302" t="s">
        <v>37</v>
      </c>
      <c r="L302" t="s">
        <v>18</v>
      </c>
      <c r="M302" t="s">
        <v>722</v>
      </c>
    </row>
    <row r="303" spans="2:13" x14ac:dyDescent="0.25">
      <c r="B303" t="s">
        <v>709</v>
      </c>
      <c r="C303">
        <v>18218606</v>
      </c>
      <c r="D303" t="str">
        <f>"4627102140364"</f>
        <v>4627102140364</v>
      </c>
      <c r="E303" t="s">
        <v>723</v>
      </c>
      <c r="F303" t="s">
        <v>48</v>
      </c>
      <c r="G303">
        <v>1</v>
      </c>
      <c r="H303" t="s">
        <v>18</v>
      </c>
      <c r="I303" t="s">
        <v>16</v>
      </c>
      <c r="J303" t="s">
        <v>37</v>
      </c>
      <c r="L303" t="s">
        <v>18</v>
      </c>
      <c r="M303" t="s">
        <v>724</v>
      </c>
    </row>
    <row r="304" spans="2:13" x14ac:dyDescent="0.25">
      <c r="B304" t="s">
        <v>709</v>
      </c>
      <c r="C304">
        <v>18218614</v>
      </c>
      <c r="D304" t="str">
        <f>"4627102140388"</f>
        <v>4627102140388</v>
      </c>
      <c r="E304" t="s">
        <v>725</v>
      </c>
      <c r="F304" t="s">
        <v>31</v>
      </c>
      <c r="G304">
        <v>1</v>
      </c>
      <c r="H304" t="s">
        <v>18</v>
      </c>
      <c r="I304" t="s">
        <v>16</v>
      </c>
      <c r="J304" t="s">
        <v>37</v>
      </c>
      <c r="L304" t="s">
        <v>18</v>
      </c>
      <c r="M304" t="s">
        <v>726</v>
      </c>
    </row>
    <row r="305" spans="2:13" x14ac:dyDescent="0.25">
      <c r="B305" t="s">
        <v>709</v>
      </c>
      <c r="C305">
        <v>18218622</v>
      </c>
      <c r="D305" t="str">
        <f>"4627102140401"</f>
        <v>4627102140401</v>
      </c>
      <c r="E305" t="s">
        <v>727</v>
      </c>
      <c r="F305" t="s">
        <v>31</v>
      </c>
      <c r="G305">
        <v>1</v>
      </c>
      <c r="H305" t="s">
        <v>15</v>
      </c>
      <c r="I305" t="s">
        <v>16</v>
      </c>
      <c r="J305" t="s">
        <v>37</v>
      </c>
      <c r="L305" t="s">
        <v>18</v>
      </c>
      <c r="M305" t="s">
        <v>728</v>
      </c>
    </row>
    <row r="306" spans="2:13" x14ac:dyDescent="0.25">
      <c r="B306" t="s">
        <v>709</v>
      </c>
      <c r="C306">
        <v>18219908</v>
      </c>
      <c r="D306" t="str">
        <f>"4610009323893"</f>
        <v>4610009323893</v>
      </c>
      <c r="E306" t="s">
        <v>729</v>
      </c>
      <c r="F306" t="s">
        <v>194</v>
      </c>
      <c r="G306">
        <v>1</v>
      </c>
      <c r="H306" t="s">
        <v>15</v>
      </c>
      <c r="I306" t="s">
        <v>16</v>
      </c>
      <c r="J306" t="s">
        <v>730</v>
      </c>
      <c r="L306" t="s">
        <v>18</v>
      </c>
      <c r="M306" t="s">
        <v>731</v>
      </c>
    </row>
    <row r="307" spans="2:13" x14ac:dyDescent="0.25">
      <c r="B307" t="s">
        <v>709</v>
      </c>
      <c r="C307">
        <v>18308433</v>
      </c>
      <c r="D307" t="str">
        <f>"3276000269045"</f>
        <v>3276000269045</v>
      </c>
      <c r="E307" t="s">
        <v>732</v>
      </c>
      <c r="F307" t="s">
        <v>194</v>
      </c>
      <c r="G307">
        <v>1</v>
      </c>
      <c r="H307" t="s">
        <v>18</v>
      </c>
      <c r="I307" t="s">
        <v>680</v>
      </c>
      <c r="J307" t="s">
        <v>28</v>
      </c>
      <c r="L307" t="s">
        <v>18</v>
      </c>
      <c r="M307" t="s">
        <v>733</v>
      </c>
    </row>
    <row r="308" spans="2:13" x14ac:dyDescent="0.25">
      <c r="B308" t="s">
        <v>734</v>
      </c>
      <c r="C308">
        <v>18693757</v>
      </c>
      <c r="D308" t="str">
        <f>"4610009324081"</f>
        <v>4610009324081</v>
      </c>
      <c r="E308" t="s">
        <v>735</v>
      </c>
      <c r="F308" t="s">
        <v>194</v>
      </c>
      <c r="G308">
        <v>1</v>
      </c>
      <c r="H308" t="s">
        <v>18</v>
      </c>
      <c r="I308" t="s">
        <v>51</v>
      </c>
      <c r="J308" t="s">
        <v>730</v>
      </c>
      <c r="L308" t="s">
        <v>18</v>
      </c>
      <c r="M308" t="s">
        <v>736</v>
      </c>
    </row>
    <row r="309" spans="2:13" x14ac:dyDescent="0.25">
      <c r="B309" t="s">
        <v>737</v>
      </c>
      <c r="C309">
        <v>13099118</v>
      </c>
      <c r="D309" t="str">
        <f>"3276200261979"</f>
        <v>3276200261979</v>
      </c>
      <c r="E309" t="s">
        <v>738</v>
      </c>
      <c r="F309" t="s">
        <v>194</v>
      </c>
      <c r="G309">
        <v>1</v>
      </c>
      <c r="H309" t="s">
        <v>15</v>
      </c>
      <c r="I309" t="s">
        <v>16</v>
      </c>
      <c r="J309" t="s">
        <v>17</v>
      </c>
      <c r="L309" t="s">
        <v>18</v>
      </c>
      <c r="M309" t="s">
        <v>739</v>
      </c>
    </row>
    <row r="310" spans="2:13" x14ac:dyDescent="0.25">
      <c r="B310" t="s">
        <v>740</v>
      </c>
      <c r="C310">
        <v>13416064</v>
      </c>
      <c r="D310" t="str">
        <f>"3276000259596"</f>
        <v>3276000259596</v>
      </c>
      <c r="E310" t="s">
        <v>741</v>
      </c>
      <c r="F310" t="s">
        <v>742</v>
      </c>
      <c r="G310">
        <v>1</v>
      </c>
      <c r="H310" t="s">
        <v>18</v>
      </c>
      <c r="I310" t="s">
        <v>16</v>
      </c>
      <c r="J310" t="s">
        <v>17</v>
      </c>
      <c r="L310" t="s">
        <v>18</v>
      </c>
      <c r="M310" t="s">
        <v>743</v>
      </c>
    </row>
    <row r="311" spans="2:13" x14ac:dyDescent="0.25">
      <c r="B311" t="s">
        <v>740</v>
      </c>
      <c r="C311">
        <v>13432806</v>
      </c>
      <c r="D311" t="str">
        <f>"3276004197559"</f>
        <v>3276004197559</v>
      </c>
      <c r="E311" t="s">
        <v>744</v>
      </c>
      <c r="F311" t="s">
        <v>442</v>
      </c>
      <c r="G311">
        <v>1</v>
      </c>
      <c r="H311" t="s">
        <v>18</v>
      </c>
      <c r="I311" t="s">
        <v>16</v>
      </c>
      <c r="J311" t="s">
        <v>28</v>
      </c>
      <c r="L311" t="s">
        <v>18</v>
      </c>
      <c r="M311" t="s">
        <v>745</v>
      </c>
    </row>
    <row r="312" spans="2:13" x14ac:dyDescent="0.25">
      <c r="B312" t="s">
        <v>740</v>
      </c>
      <c r="C312">
        <v>13454749</v>
      </c>
      <c r="D312" t="str">
        <f>"4610006683884"</f>
        <v>4610006683884</v>
      </c>
      <c r="E312" t="s">
        <v>746</v>
      </c>
      <c r="F312" t="s">
        <v>747</v>
      </c>
      <c r="G312">
        <v>1</v>
      </c>
      <c r="H312" t="s">
        <v>18</v>
      </c>
      <c r="I312" t="s">
        <v>16</v>
      </c>
      <c r="J312" t="s">
        <v>748</v>
      </c>
      <c r="L312" t="s">
        <v>18</v>
      </c>
      <c r="M312" t="s">
        <v>749</v>
      </c>
    </row>
    <row r="313" spans="2:13" x14ac:dyDescent="0.25">
      <c r="B313" t="s">
        <v>740</v>
      </c>
      <c r="C313">
        <v>13454992</v>
      </c>
      <c r="D313" t="str">
        <f>"4610006683907"</f>
        <v>4610006683907</v>
      </c>
      <c r="E313" t="s">
        <v>750</v>
      </c>
      <c r="F313" t="s">
        <v>277</v>
      </c>
      <c r="G313">
        <v>1</v>
      </c>
      <c r="H313" t="s">
        <v>18</v>
      </c>
      <c r="I313" t="s">
        <v>16</v>
      </c>
      <c r="J313" t="s">
        <v>748</v>
      </c>
      <c r="L313" t="s">
        <v>18</v>
      </c>
      <c r="M313" t="s">
        <v>751</v>
      </c>
    </row>
    <row r="314" spans="2:13" x14ac:dyDescent="0.25">
      <c r="B314" t="s">
        <v>740</v>
      </c>
      <c r="C314">
        <v>13455901</v>
      </c>
      <c r="D314" t="str">
        <f>"6914646603119"</f>
        <v>6914646603119</v>
      </c>
      <c r="E314" t="s">
        <v>752</v>
      </c>
      <c r="F314" t="s">
        <v>753</v>
      </c>
      <c r="G314">
        <v>0</v>
      </c>
      <c r="H314" t="s">
        <v>18</v>
      </c>
      <c r="I314" t="s">
        <v>754</v>
      </c>
      <c r="J314" t="s">
        <v>360</v>
      </c>
      <c r="K314" s="1">
        <v>42886</v>
      </c>
      <c r="L314" t="s">
        <v>18</v>
      </c>
      <c r="M314" t="s">
        <v>755</v>
      </c>
    </row>
    <row r="315" spans="2:13" x14ac:dyDescent="0.25">
      <c r="B315" t="s">
        <v>740</v>
      </c>
      <c r="C315">
        <v>14225948</v>
      </c>
      <c r="D315" t="str">
        <f>"4610006685895"</f>
        <v>4610006685895</v>
      </c>
      <c r="E315" t="s">
        <v>756</v>
      </c>
      <c r="F315" t="s">
        <v>389</v>
      </c>
      <c r="G315">
        <v>0</v>
      </c>
      <c r="H315" t="s">
        <v>18</v>
      </c>
      <c r="I315" t="s">
        <v>754</v>
      </c>
      <c r="J315" t="s">
        <v>748</v>
      </c>
      <c r="K315" s="1">
        <v>42902</v>
      </c>
      <c r="L315" t="s">
        <v>18</v>
      </c>
      <c r="M315" t="s">
        <v>757</v>
      </c>
    </row>
    <row r="316" spans="2:13" x14ac:dyDescent="0.25">
      <c r="B316" t="s">
        <v>740</v>
      </c>
      <c r="C316">
        <v>18234403</v>
      </c>
      <c r="D316" t="str">
        <f>"3276000266693"</f>
        <v>3276000266693</v>
      </c>
      <c r="E316" t="s">
        <v>758</v>
      </c>
      <c r="F316" t="s">
        <v>759</v>
      </c>
      <c r="G316">
        <v>1</v>
      </c>
      <c r="H316" t="s">
        <v>18</v>
      </c>
      <c r="I316" t="s">
        <v>16</v>
      </c>
      <c r="J316" t="s">
        <v>17</v>
      </c>
      <c r="L316" t="s">
        <v>18</v>
      </c>
      <c r="M316" t="s">
        <v>760</v>
      </c>
    </row>
    <row r="317" spans="2:13" x14ac:dyDescent="0.25">
      <c r="B317" t="s">
        <v>740</v>
      </c>
      <c r="C317">
        <v>18234411</v>
      </c>
      <c r="D317" t="str">
        <f>"3276000238133"</f>
        <v>3276000238133</v>
      </c>
      <c r="E317" t="s">
        <v>761</v>
      </c>
      <c r="F317" t="s">
        <v>328</v>
      </c>
      <c r="G317">
        <v>1</v>
      </c>
      <c r="H317" t="s">
        <v>18</v>
      </c>
      <c r="I317" t="s">
        <v>16</v>
      </c>
      <c r="J317" t="s">
        <v>17</v>
      </c>
      <c r="L317" t="s">
        <v>18</v>
      </c>
      <c r="M317" t="s">
        <v>762</v>
      </c>
    </row>
    <row r="318" spans="2:13" x14ac:dyDescent="0.25">
      <c r="B318" t="s">
        <v>740</v>
      </c>
      <c r="C318">
        <v>18234534</v>
      </c>
      <c r="D318" t="str">
        <f>"4005176886195"</f>
        <v>4005176886195</v>
      </c>
      <c r="E318" t="s">
        <v>763</v>
      </c>
      <c r="F318" t="s">
        <v>310</v>
      </c>
      <c r="G318">
        <v>1</v>
      </c>
      <c r="H318" t="s">
        <v>18</v>
      </c>
      <c r="I318" t="s">
        <v>16</v>
      </c>
      <c r="J318" t="s">
        <v>426</v>
      </c>
      <c r="L318" t="s">
        <v>18</v>
      </c>
      <c r="M318" t="s">
        <v>764</v>
      </c>
    </row>
    <row r="319" spans="2:13" x14ac:dyDescent="0.25">
      <c r="B319" t="s">
        <v>740</v>
      </c>
      <c r="C319">
        <v>18414682</v>
      </c>
      <c r="D319" t="str">
        <f>"6931234573654"</f>
        <v>6931234573654</v>
      </c>
      <c r="E319" t="s">
        <v>765</v>
      </c>
      <c r="F319" t="s">
        <v>194</v>
      </c>
      <c r="G319">
        <v>1</v>
      </c>
      <c r="H319" t="s">
        <v>18</v>
      </c>
      <c r="I319" t="s">
        <v>16</v>
      </c>
      <c r="J319" t="s">
        <v>239</v>
      </c>
      <c r="L319" t="s">
        <v>18</v>
      </c>
      <c r="M319" t="s">
        <v>766</v>
      </c>
    </row>
    <row r="320" spans="2:13" x14ac:dyDescent="0.25">
      <c r="B320" t="s">
        <v>740</v>
      </c>
      <c r="C320">
        <v>18510113</v>
      </c>
      <c r="D320" t="str">
        <f>"3276000278993"</f>
        <v>3276000278993</v>
      </c>
      <c r="E320" t="s">
        <v>767</v>
      </c>
      <c r="F320" t="s">
        <v>194</v>
      </c>
      <c r="G320">
        <v>1</v>
      </c>
      <c r="H320" t="s">
        <v>18</v>
      </c>
      <c r="I320" t="s">
        <v>16</v>
      </c>
      <c r="J320" t="s">
        <v>28</v>
      </c>
      <c r="L320" t="s">
        <v>18</v>
      </c>
      <c r="M320" t="s">
        <v>768</v>
      </c>
    </row>
    <row r="321" spans="2:13" x14ac:dyDescent="0.25">
      <c r="B321" t="s">
        <v>769</v>
      </c>
      <c r="C321">
        <v>10252391</v>
      </c>
      <c r="D321" t="str">
        <f>"4011097314051"</f>
        <v>4011097314051</v>
      </c>
      <c r="E321" t="s">
        <v>770</v>
      </c>
      <c r="F321" t="s">
        <v>425</v>
      </c>
      <c r="G321">
        <v>1</v>
      </c>
      <c r="H321" t="s">
        <v>18</v>
      </c>
      <c r="I321" t="s">
        <v>16</v>
      </c>
      <c r="J321" t="s">
        <v>429</v>
      </c>
      <c r="L321" t="s">
        <v>18</v>
      </c>
      <c r="M321" t="s">
        <v>771</v>
      </c>
    </row>
    <row r="322" spans="2:13" x14ac:dyDescent="0.25">
      <c r="B322" t="s">
        <v>769</v>
      </c>
      <c r="C322">
        <v>10252615</v>
      </c>
      <c r="D322" t="str">
        <f>"4011097260860"</f>
        <v>4011097260860</v>
      </c>
      <c r="E322" t="s">
        <v>772</v>
      </c>
      <c r="F322" t="s">
        <v>268</v>
      </c>
      <c r="G322">
        <v>1</v>
      </c>
      <c r="H322" t="s">
        <v>18</v>
      </c>
      <c r="I322" t="s">
        <v>16</v>
      </c>
      <c r="J322" t="s">
        <v>429</v>
      </c>
      <c r="L322" t="s">
        <v>18</v>
      </c>
      <c r="M322" t="s">
        <v>773</v>
      </c>
    </row>
    <row r="323" spans="2:13" x14ac:dyDescent="0.25">
      <c r="B323" t="s">
        <v>769</v>
      </c>
      <c r="C323">
        <v>11526542</v>
      </c>
      <c r="D323" t="str">
        <f>"4011097407708"</f>
        <v>4011097407708</v>
      </c>
      <c r="E323" t="s">
        <v>774</v>
      </c>
      <c r="F323" t="s">
        <v>389</v>
      </c>
      <c r="G323">
        <v>1</v>
      </c>
      <c r="H323" t="s">
        <v>18</v>
      </c>
      <c r="I323" t="s">
        <v>16</v>
      </c>
      <c r="J323" t="s">
        <v>429</v>
      </c>
      <c r="L323" t="s">
        <v>18</v>
      </c>
      <c r="M323" t="s">
        <v>775</v>
      </c>
    </row>
    <row r="324" spans="2:13" x14ac:dyDescent="0.25">
      <c r="B324" t="s">
        <v>769</v>
      </c>
      <c r="C324">
        <v>11526550</v>
      </c>
      <c r="D324" t="str">
        <f>"4011097314020"</f>
        <v>4011097314020</v>
      </c>
      <c r="E324" t="s">
        <v>776</v>
      </c>
      <c r="F324" t="s">
        <v>285</v>
      </c>
      <c r="G324">
        <v>1</v>
      </c>
      <c r="H324" t="s">
        <v>18</v>
      </c>
      <c r="I324" t="s">
        <v>16</v>
      </c>
      <c r="J324" t="s">
        <v>429</v>
      </c>
      <c r="L324" t="s">
        <v>18</v>
      </c>
      <c r="M324" t="s">
        <v>777</v>
      </c>
    </row>
    <row r="325" spans="2:13" x14ac:dyDescent="0.25">
      <c r="B325" t="s">
        <v>769</v>
      </c>
      <c r="C325">
        <v>11526569</v>
      </c>
      <c r="D325" t="str">
        <f>"4011097471624"</f>
        <v>4011097471624</v>
      </c>
      <c r="E325" t="s">
        <v>778</v>
      </c>
      <c r="F325" t="s">
        <v>413</v>
      </c>
      <c r="G325">
        <v>1</v>
      </c>
      <c r="H325" t="s">
        <v>18</v>
      </c>
      <c r="I325" t="s">
        <v>16</v>
      </c>
      <c r="J325" t="s">
        <v>429</v>
      </c>
      <c r="L325" t="s">
        <v>18</v>
      </c>
      <c r="M325" t="s">
        <v>779</v>
      </c>
    </row>
    <row r="326" spans="2:13" x14ac:dyDescent="0.25">
      <c r="B326" t="s">
        <v>769</v>
      </c>
      <c r="C326">
        <v>13415643</v>
      </c>
      <c r="D326" t="str">
        <f>"3276004197191"</f>
        <v>3276004197191</v>
      </c>
      <c r="E326" t="s">
        <v>780</v>
      </c>
      <c r="F326" t="s">
        <v>285</v>
      </c>
      <c r="G326">
        <v>1</v>
      </c>
      <c r="H326" t="s">
        <v>18</v>
      </c>
      <c r="I326" t="s">
        <v>16</v>
      </c>
      <c r="J326" t="s">
        <v>17</v>
      </c>
      <c r="L326" t="s">
        <v>18</v>
      </c>
      <c r="M326" t="s">
        <v>781</v>
      </c>
    </row>
    <row r="327" spans="2:13" x14ac:dyDescent="0.25">
      <c r="B327" t="s">
        <v>769</v>
      </c>
      <c r="C327">
        <v>13415782</v>
      </c>
      <c r="D327" t="str">
        <f>"3276000260219"</f>
        <v>3276000260219</v>
      </c>
      <c r="E327" t="s">
        <v>782</v>
      </c>
      <c r="F327" t="s">
        <v>783</v>
      </c>
      <c r="G327">
        <v>1</v>
      </c>
      <c r="H327" t="s">
        <v>18</v>
      </c>
      <c r="I327" t="s">
        <v>16</v>
      </c>
      <c r="J327" t="s">
        <v>28</v>
      </c>
      <c r="L327" t="s">
        <v>18</v>
      </c>
      <c r="M327" t="s">
        <v>784</v>
      </c>
    </row>
    <row r="328" spans="2:13" x14ac:dyDescent="0.25">
      <c r="B328" t="s">
        <v>769</v>
      </c>
      <c r="C328">
        <v>14225964</v>
      </c>
      <c r="D328" t="str">
        <f>"4610006685871"</f>
        <v>4610006685871</v>
      </c>
      <c r="E328" t="s">
        <v>785</v>
      </c>
      <c r="F328" t="s">
        <v>31</v>
      </c>
      <c r="G328">
        <v>0</v>
      </c>
      <c r="H328" t="s">
        <v>18</v>
      </c>
      <c r="I328" t="s">
        <v>754</v>
      </c>
      <c r="J328" t="s">
        <v>748</v>
      </c>
      <c r="K328" s="1">
        <v>42886</v>
      </c>
      <c r="L328" t="s">
        <v>18</v>
      </c>
      <c r="M328" t="s">
        <v>786</v>
      </c>
    </row>
    <row r="329" spans="2:13" x14ac:dyDescent="0.25">
      <c r="B329" t="s">
        <v>769</v>
      </c>
      <c r="C329">
        <v>18234391</v>
      </c>
      <c r="D329" t="str">
        <f>"3276000266679"</f>
        <v>3276000266679</v>
      </c>
      <c r="E329" t="s">
        <v>787</v>
      </c>
      <c r="F329" t="s">
        <v>788</v>
      </c>
      <c r="G329">
        <v>1</v>
      </c>
      <c r="H329" t="s">
        <v>18</v>
      </c>
      <c r="I329" t="s">
        <v>16</v>
      </c>
      <c r="J329" t="s">
        <v>17</v>
      </c>
      <c r="L329" t="s">
        <v>18</v>
      </c>
      <c r="M329" t="s">
        <v>789</v>
      </c>
    </row>
    <row r="330" spans="2:13" x14ac:dyDescent="0.25">
      <c r="B330" t="s">
        <v>769</v>
      </c>
      <c r="C330">
        <v>18234518</v>
      </c>
      <c r="D330" t="str">
        <f>"4005176815126"</f>
        <v>4005176815126</v>
      </c>
      <c r="E330" t="s">
        <v>790</v>
      </c>
      <c r="F330" t="s">
        <v>791</v>
      </c>
      <c r="G330">
        <v>1</v>
      </c>
      <c r="H330" t="s">
        <v>18</v>
      </c>
      <c r="I330" t="s">
        <v>16</v>
      </c>
      <c r="J330" t="s">
        <v>426</v>
      </c>
      <c r="L330" t="s">
        <v>18</v>
      </c>
      <c r="M330" t="s">
        <v>792</v>
      </c>
    </row>
    <row r="331" spans="2:13" x14ac:dyDescent="0.25">
      <c r="B331" t="s">
        <v>769</v>
      </c>
      <c r="C331">
        <v>18234526</v>
      </c>
      <c r="D331" t="str">
        <f>"4005176815133"</f>
        <v>4005176815133</v>
      </c>
      <c r="E331" t="s">
        <v>793</v>
      </c>
      <c r="F331" t="s">
        <v>759</v>
      </c>
      <c r="G331">
        <v>1</v>
      </c>
      <c r="H331" t="s">
        <v>18</v>
      </c>
      <c r="I331" t="s">
        <v>16</v>
      </c>
      <c r="J331" t="s">
        <v>426</v>
      </c>
      <c r="L331" t="s">
        <v>18</v>
      </c>
      <c r="M331" t="s">
        <v>270</v>
      </c>
    </row>
    <row r="332" spans="2:13" x14ac:dyDescent="0.25">
      <c r="B332" t="s">
        <v>769</v>
      </c>
      <c r="C332">
        <v>18314649</v>
      </c>
      <c r="D332" t="str">
        <f>"4011097314044"</f>
        <v>4011097314044</v>
      </c>
      <c r="E332" t="s">
        <v>794</v>
      </c>
      <c r="F332" t="s">
        <v>268</v>
      </c>
      <c r="G332">
        <v>1</v>
      </c>
      <c r="H332" t="s">
        <v>18</v>
      </c>
      <c r="I332" t="s">
        <v>16</v>
      </c>
      <c r="J332" t="s">
        <v>429</v>
      </c>
      <c r="L332" t="s">
        <v>18</v>
      </c>
      <c r="M332" t="s">
        <v>795</v>
      </c>
    </row>
    <row r="333" spans="2:13" x14ac:dyDescent="0.25">
      <c r="B333" t="s">
        <v>796</v>
      </c>
      <c r="C333">
        <v>12762360</v>
      </c>
      <c r="D333" t="str">
        <f>"4011097532943"</f>
        <v>4011097532943</v>
      </c>
      <c r="E333" t="s">
        <v>797</v>
      </c>
      <c r="F333" t="s">
        <v>366</v>
      </c>
      <c r="G333">
        <v>1</v>
      </c>
      <c r="H333" t="s">
        <v>18</v>
      </c>
      <c r="I333" t="s">
        <v>51</v>
      </c>
      <c r="J333" t="s">
        <v>429</v>
      </c>
      <c r="L333" t="s">
        <v>18</v>
      </c>
      <c r="M333" t="s">
        <v>798</v>
      </c>
    </row>
    <row r="334" spans="2:13" x14ac:dyDescent="0.25">
      <c r="B334" t="s">
        <v>799</v>
      </c>
      <c r="C334">
        <v>12198974</v>
      </c>
      <c r="D334" t="str">
        <f>"6914646196000"</f>
        <v>6914646196000</v>
      </c>
      <c r="E334" t="s">
        <v>800</v>
      </c>
      <c r="F334" t="s">
        <v>801</v>
      </c>
      <c r="G334">
        <v>1</v>
      </c>
      <c r="H334" t="s">
        <v>18</v>
      </c>
      <c r="I334" t="s">
        <v>16</v>
      </c>
      <c r="J334" t="s">
        <v>360</v>
      </c>
      <c r="L334" t="s">
        <v>18</v>
      </c>
      <c r="M334" t="s">
        <v>802</v>
      </c>
    </row>
    <row r="335" spans="2:13" x14ac:dyDescent="0.25">
      <c r="B335" t="s">
        <v>799</v>
      </c>
      <c r="C335">
        <v>12199002</v>
      </c>
      <c r="D335" t="str">
        <f>"6904646100336"</f>
        <v>6904646100336</v>
      </c>
      <c r="E335" t="s">
        <v>803</v>
      </c>
      <c r="F335" t="s">
        <v>804</v>
      </c>
      <c r="G335">
        <v>1</v>
      </c>
      <c r="H335" t="s">
        <v>18</v>
      </c>
      <c r="I335" t="s">
        <v>16</v>
      </c>
      <c r="J335" t="s">
        <v>360</v>
      </c>
      <c r="L335" t="s">
        <v>18</v>
      </c>
      <c r="M335" t="s">
        <v>577</v>
      </c>
    </row>
    <row r="336" spans="2:13" x14ac:dyDescent="0.25">
      <c r="B336" t="s">
        <v>799</v>
      </c>
      <c r="C336">
        <v>12762301</v>
      </c>
      <c r="D336" t="str">
        <f>"4011097532806"</f>
        <v>4011097532806</v>
      </c>
      <c r="E336" t="s">
        <v>805</v>
      </c>
      <c r="F336" t="s">
        <v>191</v>
      </c>
      <c r="G336">
        <v>1</v>
      </c>
      <c r="H336" t="s">
        <v>18</v>
      </c>
      <c r="I336" t="s">
        <v>16</v>
      </c>
      <c r="J336" t="s">
        <v>429</v>
      </c>
      <c r="L336" t="s">
        <v>18</v>
      </c>
      <c r="M336" t="s">
        <v>806</v>
      </c>
    </row>
    <row r="337" spans="2:13" x14ac:dyDescent="0.25">
      <c r="B337" t="s">
        <v>799</v>
      </c>
      <c r="C337">
        <v>13089075</v>
      </c>
      <c r="D337" t="str">
        <f>"6914646075138"</f>
        <v>6914646075138</v>
      </c>
      <c r="E337" t="s">
        <v>807</v>
      </c>
      <c r="F337" t="s">
        <v>808</v>
      </c>
      <c r="G337">
        <v>1</v>
      </c>
      <c r="H337" t="s">
        <v>18</v>
      </c>
      <c r="I337" t="s">
        <v>16</v>
      </c>
      <c r="J337" t="s">
        <v>360</v>
      </c>
      <c r="L337" t="s">
        <v>18</v>
      </c>
      <c r="M337" t="s">
        <v>809</v>
      </c>
    </row>
    <row r="338" spans="2:13" x14ac:dyDescent="0.25">
      <c r="B338" t="s">
        <v>799</v>
      </c>
      <c r="C338">
        <v>13092012</v>
      </c>
      <c r="D338" t="str">
        <f>"6931234570004"</f>
        <v>6931234570004</v>
      </c>
      <c r="E338" t="s">
        <v>810</v>
      </c>
      <c r="F338" t="s">
        <v>751</v>
      </c>
      <c r="G338">
        <v>1</v>
      </c>
      <c r="H338" t="s">
        <v>18</v>
      </c>
      <c r="I338" t="s">
        <v>51</v>
      </c>
      <c r="J338" t="s">
        <v>239</v>
      </c>
      <c r="L338" t="s">
        <v>18</v>
      </c>
      <c r="M338" t="s">
        <v>781</v>
      </c>
    </row>
    <row r="339" spans="2:13" x14ac:dyDescent="0.25">
      <c r="B339" t="s">
        <v>799</v>
      </c>
      <c r="C339">
        <v>13454685</v>
      </c>
      <c r="D339" t="str">
        <f>"4610006683860"</f>
        <v>4610006683860</v>
      </c>
      <c r="E339" t="s">
        <v>811</v>
      </c>
      <c r="F339" t="s">
        <v>812</v>
      </c>
      <c r="G339">
        <v>1</v>
      </c>
      <c r="H339" t="s">
        <v>18</v>
      </c>
      <c r="I339" t="s">
        <v>16</v>
      </c>
      <c r="J339" t="s">
        <v>748</v>
      </c>
      <c r="L339" t="s">
        <v>18</v>
      </c>
      <c r="M339" t="s">
        <v>813</v>
      </c>
    </row>
    <row r="340" spans="2:13" x14ac:dyDescent="0.25">
      <c r="B340" t="s">
        <v>799</v>
      </c>
      <c r="C340">
        <v>13455506</v>
      </c>
      <c r="D340" t="str">
        <f>"6914646212137"</f>
        <v>6914646212137</v>
      </c>
      <c r="E340" t="s">
        <v>814</v>
      </c>
      <c r="F340" t="s">
        <v>791</v>
      </c>
      <c r="G340">
        <v>1</v>
      </c>
      <c r="H340" t="s">
        <v>18</v>
      </c>
      <c r="I340" t="s">
        <v>16</v>
      </c>
      <c r="J340" t="s">
        <v>360</v>
      </c>
      <c r="L340" t="s">
        <v>18</v>
      </c>
      <c r="M340" t="s">
        <v>815</v>
      </c>
    </row>
    <row r="341" spans="2:13" x14ac:dyDescent="0.25">
      <c r="B341" t="s">
        <v>799</v>
      </c>
      <c r="C341">
        <v>13456189</v>
      </c>
      <c r="D341" t="str">
        <f>"6931234570714"</f>
        <v>6931234570714</v>
      </c>
      <c r="E341" t="s">
        <v>816</v>
      </c>
      <c r="F341" t="s">
        <v>366</v>
      </c>
      <c r="G341">
        <v>1</v>
      </c>
      <c r="H341" t="s">
        <v>18</v>
      </c>
      <c r="I341" t="s">
        <v>16</v>
      </c>
      <c r="J341" t="s">
        <v>239</v>
      </c>
      <c r="L341" t="s">
        <v>18</v>
      </c>
      <c r="M341" t="s">
        <v>817</v>
      </c>
    </row>
    <row r="342" spans="2:13" x14ac:dyDescent="0.25">
      <c r="B342" t="s">
        <v>799</v>
      </c>
      <c r="C342">
        <v>13738370</v>
      </c>
      <c r="D342" t="str">
        <f>"6931234570745"</f>
        <v>6931234570745</v>
      </c>
      <c r="E342" t="s">
        <v>818</v>
      </c>
      <c r="F342" t="s">
        <v>410</v>
      </c>
      <c r="G342">
        <v>1</v>
      </c>
      <c r="H342" t="s">
        <v>18</v>
      </c>
      <c r="I342" t="s">
        <v>16</v>
      </c>
      <c r="J342" t="s">
        <v>239</v>
      </c>
      <c r="L342" t="s">
        <v>18</v>
      </c>
      <c r="M342" t="s">
        <v>819</v>
      </c>
    </row>
    <row r="343" spans="2:13" x14ac:dyDescent="0.25">
      <c r="B343" t="s">
        <v>799</v>
      </c>
      <c r="C343">
        <v>14171919</v>
      </c>
      <c r="D343" t="str">
        <f>"4051343028011"</f>
        <v>4051343028011</v>
      </c>
      <c r="E343" t="s">
        <v>820</v>
      </c>
      <c r="F343" t="s">
        <v>277</v>
      </c>
      <c r="G343">
        <v>1</v>
      </c>
      <c r="H343" t="s">
        <v>18</v>
      </c>
      <c r="I343" t="s">
        <v>16</v>
      </c>
      <c r="J343" t="s">
        <v>52</v>
      </c>
      <c r="L343" t="s">
        <v>18</v>
      </c>
      <c r="M343" t="s">
        <v>821</v>
      </c>
    </row>
    <row r="344" spans="2:13" x14ac:dyDescent="0.25">
      <c r="B344" t="s">
        <v>799</v>
      </c>
      <c r="C344">
        <v>14172137</v>
      </c>
      <c r="D344" t="str">
        <f>"4051343039482"</f>
        <v>4051343039482</v>
      </c>
      <c r="E344" t="s">
        <v>822</v>
      </c>
      <c r="F344" t="s">
        <v>823</v>
      </c>
      <c r="G344">
        <v>1</v>
      </c>
      <c r="H344" t="s">
        <v>18</v>
      </c>
      <c r="I344" t="s">
        <v>16</v>
      </c>
      <c r="J344" t="s">
        <v>52</v>
      </c>
      <c r="L344" t="s">
        <v>18</v>
      </c>
      <c r="M344" t="s">
        <v>824</v>
      </c>
    </row>
    <row r="345" spans="2:13" x14ac:dyDescent="0.25">
      <c r="B345" t="s">
        <v>799</v>
      </c>
      <c r="C345">
        <v>14172305</v>
      </c>
      <c r="D345" t="str">
        <f>"5708516980131"</f>
        <v>5708516980131</v>
      </c>
      <c r="E345" t="s">
        <v>825</v>
      </c>
      <c r="F345" t="s">
        <v>27</v>
      </c>
      <c r="G345">
        <v>1</v>
      </c>
      <c r="H345" t="s">
        <v>18</v>
      </c>
      <c r="I345" t="s">
        <v>16</v>
      </c>
      <c r="J345" t="s">
        <v>826</v>
      </c>
      <c r="K345" s="1">
        <v>42962</v>
      </c>
      <c r="L345" t="s">
        <v>18</v>
      </c>
      <c r="M345" t="s">
        <v>827</v>
      </c>
    </row>
    <row r="346" spans="2:13" x14ac:dyDescent="0.25">
      <c r="B346" t="s">
        <v>799</v>
      </c>
      <c r="C346">
        <v>14172348</v>
      </c>
      <c r="D346" t="str">
        <f>"5708516980155"</f>
        <v>5708516980155</v>
      </c>
      <c r="E346" t="s">
        <v>828</v>
      </c>
      <c r="F346" t="s">
        <v>31</v>
      </c>
      <c r="G346">
        <v>1</v>
      </c>
      <c r="H346" t="s">
        <v>18</v>
      </c>
      <c r="I346" t="s">
        <v>16</v>
      </c>
      <c r="J346" t="s">
        <v>826</v>
      </c>
      <c r="K346" s="1">
        <v>42962</v>
      </c>
      <c r="L346" t="s">
        <v>18</v>
      </c>
      <c r="M346" t="s">
        <v>829</v>
      </c>
    </row>
    <row r="347" spans="2:13" x14ac:dyDescent="0.25">
      <c r="B347" t="s">
        <v>799</v>
      </c>
      <c r="C347">
        <v>14227927</v>
      </c>
      <c r="D347" t="str">
        <f>"4005176969003"</f>
        <v>4005176969003</v>
      </c>
      <c r="E347" t="s">
        <v>830</v>
      </c>
      <c r="F347" t="s">
        <v>522</v>
      </c>
      <c r="G347">
        <v>1</v>
      </c>
      <c r="H347" t="s">
        <v>18</v>
      </c>
      <c r="I347" t="s">
        <v>16</v>
      </c>
      <c r="J347" t="s">
        <v>426</v>
      </c>
      <c r="L347" t="s">
        <v>18</v>
      </c>
      <c r="M347" t="s">
        <v>831</v>
      </c>
    </row>
    <row r="348" spans="2:13" x14ac:dyDescent="0.25">
      <c r="B348" t="s">
        <v>799</v>
      </c>
      <c r="C348">
        <v>14276921</v>
      </c>
      <c r="D348" t="str">
        <f>"4610006686656"</f>
        <v>4610006686656</v>
      </c>
      <c r="E348" t="s">
        <v>832</v>
      </c>
      <c r="F348" t="s">
        <v>833</v>
      </c>
      <c r="G348">
        <v>1</v>
      </c>
      <c r="H348" t="s">
        <v>18</v>
      </c>
      <c r="I348" t="s">
        <v>16</v>
      </c>
      <c r="J348" t="s">
        <v>748</v>
      </c>
      <c r="L348" t="s">
        <v>18</v>
      </c>
      <c r="M348" t="s">
        <v>624</v>
      </c>
    </row>
    <row r="349" spans="2:13" x14ac:dyDescent="0.25">
      <c r="B349" t="s">
        <v>799</v>
      </c>
      <c r="C349">
        <v>14276964</v>
      </c>
      <c r="D349" t="str">
        <f>"4610006685857"</f>
        <v>4610006685857</v>
      </c>
      <c r="E349" t="s">
        <v>834</v>
      </c>
      <c r="F349" t="s">
        <v>835</v>
      </c>
      <c r="G349">
        <v>1</v>
      </c>
      <c r="H349" t="s">
        <v>18</v>
      </c>
      <c r="I349" t="s">
        <v>16</v>
      </c>
      <c r="J349" t="s">
        <v>748</v>
      </c>
      <c r="L349" t="s">
        <v>18</v>
      </c>
      <c r="M349" t="s">
        <v>836</v>
      </c>
    </row>
    <row r="350" spans="2:13" x14ac:dyDescent="0.25">
      <c r="B350" t="s">
        <v>799</v>
      </c>
      <c r="C350">
        <v>14276980</v>
      </c>
      <c r="D350" t="str">
        <f>"4610006685833"</f>
        <v>4610006685833</v>
      </c>
      <c r="E350" t="s">
        <v>837</v>
      </c>
      <c r="F350" t="s">
        <v>838</v>
      </c>
      <c r="G350">
        <v>1</v>
      </c>
      <c r="H350" t="s">
        <v>18</v>
      </c>
      <c r="I350" t="s">
        <v>51</v>
      </c>
      <c r="J350" t="s">
        <v>748</v>
      </c>
      <c r="L350" t="s">
        <v>18</v>
      </c>
      <c r="M350" t="s">
        <v>836</v>
      </c>
    </row>
    <row r="351" spans="2:13" x14ac:dyDescent="0.25">
      <c r="B351" t="s">
        <v>799</v>
      </c>
      <c r="C351">
        <v>14277430</v>
      </c>
      <c r="D351" t="str">
        <f>"6914646026093"</f>
        <v>6914646026093</v>
      </c>
      <c r="E351" t="s">
        <v>839</v>
      </c>
      <c r="F351" t="s">
        <v>840</v>
      </c>
      <c r="G351">
        <v>1</v>
      </c>
      <c r="H351" t="s">
        <v>18</v>
      </c>
      <c r="I351" t="s">
        <v>16</v>
      </c>
      <c r="J351" t="s">
        <v>360</v>
      </c>
      <c r="L351" t="s">
        <v>18</v>
      </c>
      <c r="M351" t="s">
        <v>835</v>
      </c>
    </row>
    <row r="352" spans="2:13" x14ac:dyDescent="0.25">
      <c r="B352" t="s">
        <v>799</v>
      </c>
      <c r="C352">
        <v>14277537</v>
      </c>
      <c r="D352" t="str">
        <f>"6931234572060"</f>
        <v>6931234572060</v>
      </c>
      <c r="E352" t="s">
        <v>841</v>
      </c>
      <c r="F352" t="s">
        <v>842</v>
      </c>
      <c r="G352">
        <v>1</v>
      </c>
      <c r="H352" t="s">
        <v>18</v>
      </c>
      <c r="I352" t="s">
        <v>16</v>
      </c>
      <c r="J352" t="s">
        <v>239</v>
      </c>
      <c r="L352" t="s">
        <v>18</v>
      </c>
      <c r="M352" t="s">
        <v>843</v>
      </c>
    </row>
    <row r="353" spans="2:13" x14ac:dyDescent="0.25">
      <c r="B353" t="s">
        <v>799</v>
      </c>
      <c r="C353">
        <v>14397070</v>
      </c>
      <c r="D353" t="str">
        <f>"4011097685588"</f>
        <v>4011097685588</v>
      </c>
      <c r="E353" t="s">
        <v>844</v>
      </c>
      <c r="F353" t="s">
        <v>285</v>
      </c>
      <c r="G353">
        <v>1</v>
      </c>
      <c r="H353" t="s">
        <v>18</v>
      </c>
      <c r="I353" t="s">
        <v>16</v>
      </c>
      <c r="J353" t="s">
        <v>429</v>
      </c>
      <c r="L353" t="s">
        <v>18</v>
      </c>
      <c r="M353" t="s">
        <v>845</v>
      </c>
    </row>
    <row r="354" spans="2:13" x14ac:dyDescent="0.25">
      <c r="B354" t="s">
        <v>799</v>
      </c>
      <c r="C354">
        <v>15158530</v>
      </c>
      <c r="D354" t="str">
        <f>"4051343027922"</f>
        <v>4051343027922</v>
      </c>
      <c r="E354" t="s">
        <v>846</v>
      </c>
      <c r="F354" t="s">
        <v>847</v>
      </c>
      <c r="G354">
        <v>1</v>
      </c>
      <c r="H354" t="s">
        <v>18</v>
      </c>
      <c r="I354" t="s">
        <v>16</v>
      </c>
      <c r="J354" t="s">
        <v>52</v>
      </c>
      <c r="K354" s="1">
        <v>42925</v>
      </c>
      <c r="L354" t="s">
        <v>18</v>
      </c>
      <c r="M354" t="s">
        <v>848</v>
      </c>
    </row>
    <row r="355" spans="2:13" x14ac:dyDescent="0.25">
      <c r="B355" t="s">
        <v>799</v>
      </c>
      <c r="C355">
        <v>15354346</v>
      </c>
      <c r="D355" t="str">
        <f>"4011097731452"</f>
        <v>4011097731452</v>
      </c>
      <c r="E355" t="s">
        <v>849</v>
      </c>
      <c r="F355" t="s">
        <v>413</v>
      </c>
      <c r="G355">
        <v>0</v>
      </c>
      <c r="H355" t="s">
        <v>18</v>
      </c>
      <c r="I355" t="s">
        <v>754</v>
      </c>
      <c r="J355" t="s">
        <v>429</v>
      </c>
      <c r="K355" s="1">
        <v>42855</v>
      </c>
      <c r="L355" t="s">
        <v>18</v>
      </c>
      <c r="M355" t="s">
        <v>850</v>
      </c>
    </row>
    <row r="356" spans="2:13" x14ac:dyDescent="0.25">
      <c r="B356" t="s">
        <v>799</v>
      </c>
      <c r="C356">
        <v>15354362</v>
      </c>
      <c r="D356" t="str">
        <f>"4011097731445"</f>
        <v>4011097731445</v>
      </c>
      <c r="E356" t="s">
        <v>851</v>
      </c>
      <c r="F356" t="s">
        <v>268</v>
      </c>
      <c r="G356">
        <v>0</v>
      </c>
      <c r="H356" t="s">
        <v>18</v>
      </c>
      <c r="I356" t="s">
        <v>754</v>
      </c>
      <c r="J356" t="s">
        <v>429</v>
      </c>
      <c r="K356" s="1">
        <v>42899</v>
      </c>
      <c r="L356" t="s">
        <v>18</v>
      </c>
      <c r="M356" t="s">
        <v>852</v>
      </c>
    </row>
    <row r="357" spans="2:13" x14ac:dyDescent="0.25">
      <c r="B357" t="s">
        <v>799</v>
      </c>
      <c r="C357">
        <v>15549629</v>
      </c>
      <c r="D357" t="str">
        <f>"4627091393116"</f>
        <v>4627091393116</v>
      </c>
      <c r="E357" t="s">
        <v>853</v>
      </c>
      <c r="F357" t="s">
        <v>525</v>
      </c>
      <c r="G357">
        <v>1</v>
      </c>
      <c r="H357" t="s">
        <v>18</v>
      </c>
      <c r="I357" t="s">
        <v>16</v>
      </c>
      <c r="J357" t="s">
        <v>854</v>
      </c>
      <c r="L357" t="s">
        <v>18</v>
      </c>
      <c r="M357" t="s">
        <v>745</v>
      </c>
    </row>
    <row r="358" spans="2:13" x14ac:dyDescent="0.25">
      <c r="B358" t="s">
        <v>799</v>
      </c>
      <c r="C358">
        <v>15549637</v>
      </c>
      <c r="D358" t="str">
        <f>"4627091393123"</f>
        <v>4627091393123</v>
      </c>
      <c r="E358" t="s">
        <v>855</v>
      </c>
      <c r="F358" t="s">
        <v>188</v>
      </c>
      <c r="G358">
        <v>1</v>
      </c>
      <c r="H358" t="s">
        <v>18</v>
      </c>
      <c r="I358" t="s">
        <v>16</v>
      </c>
      <c r="J358" t="s">
        <v>854</v>
      </c>
      <c r="L358" t="s">
        <v>18</v>
      </c>
      <c r="M358" t="s">
        <v>856</v>
      </c>
    </row>
    <row r="359" spans="2:13" x14ac:dyDescent="0.25">
      <c r="B359" t="s">
        <v>799</v>
      </c>
      <c r="C359">
        <v>15619674</v>
      </c>
      <c r="D359" t="str">
        <f>"4627091394984"</f>
        <v>4627091394984</v>
      </c>
      <c r="E359" t="s">
        <v>857</v>
      </c>
      <c r="F359" t="s">
        <v>858</v>
      </c>
      <c r="G359">
        <v>1</v>
      </c>
      <c r="H359" t="s">
        <v>18</v>
      </c>
      <c r="I359" t="s">
        <v>16</v>
      </c>
      <c r="J359" t="s">
        <v>854</v>
      </c>
      <c r="L359" t="s">
        <v>18</v>
      </c>
      <c r="M359" t="s">
        <v>859</v>
      </c>
    </row>
    <row r="360" spans="2:13" x14ac:dyDescent="0.25">
      <c r="B360" t="s">
        <v>799</v>
      </c>
      <c r="C360">
        <v>15619682</v>
      </c>
      <c r="D360" t="str">
        <f>"4627091394991"</f>
        <v>4627091394991</v>
      </c>
      <c r="E360" t="s">
        <v>860</v>
      </c>
      <c r="F360" t="s">
        <v>861</v>
      </c>
      <c r="G360">
        <v>1</v>
      </c>
      <c r="H360" t="s">
        <v>18</v>
      </c>
      <c r="I360" t="s">
        <v>16</v>
      </c>
      <c r="J360" t="s">
        <v>854</v>
      </c>
      <c r="L360" t="s">
        <v>18</v>
      </c>
      <c r="M360" t="s">
        <v>862</v>
      </c>
    </row>
    <row r="361" spans="2:13" x14ac:dyDescent="0.25">
      <c r="B361" t="s">
        <v>799</v>
      </c>
      <c r="C361">
        <v>15970501</v>
      </c>
      <c r="D361" t="str">
        <f>"7350078200349"</f>
        <v>7350078200349</v>
      </c>
      <c r="E361" t="s">
        <v>863</v>
      </c>
      <c r="F361" t="s">
        <v>285</v>
      </c>
      <c r="G361">
        <v>1</v>
      </c>
      <c r="H361" t="s">
        <v>18</v>
      </c>
      <c r="I361" t="s">
        <v>16</v>
      </c>
      <c r="J361" t="s">
        <v>864</v>
      </c>
      <c r="L361" t="s">
        <v>18</v>
      </c>
      <c r="M361" t="s">
        <v>865</v>
      </c>
    </row>
    <row r="362" spans="2:13" x14ac:dyDescent="0.25">
      <c r="B362" t="s">
        <v>866</v>
      </c>
      <c r="C362">
        <v>13452356</v>
      </c>
      <c r="D362" t="str">
        <f>"4011097574462"</f>
        <v>4011097574462</v>
      </c>
      <c r="E362" t="s">
        <v>867</v>
      </c>
      <c r="F362" t="s">
        <v>227</v>
      </c>
      <c r="G362">
        <v>1</v>
      </c>
      <c r="H362" t="s">
        <v>18</v>
      </c>
      <c r="I362" t="s">
        <v>16</v>
      </c>
      <c r="J362" t="s">
        <v>429</v>
      </c>
      <c r="L362" t="s">
        <v>18</v>
      </c>
      <c r="M362" t="s">
        <v>868</v>
      </c>
    </row>
    <row r="363" spans="2:13" x14ac:dyDescent="0.25">
      <c r="B363" t="s">
        <v>866</v>
      </c>
      <c r="C363">
        <v>13455514</v>
      </c>
      <c r="D363" t="str">
        <f>"6914646212403"</f>
        <v>6914646212403</v>
      </c>
      <c r="E363" t="s">
        <v>869</v>
      </c>
      <c r="F363" t="s">
        <v>410</v>
      </c>
      <c r="G363">
        <v>1</v>
      </c>
      <c r="H363" t="s">
        <v>18</v>
      </c>
      <c r="I363" t="s">
        <v>16</v>
      </c>
      <c r="J363" t="s">
        <v>360</v>
      </c>
      <c r="L363" t="s">
        <v>18</v>
      </c>
      <c r="M363" t="s">
        <v>870</v>
      </c>
    </row>
    <row r="364" spans="2:13" x14ac:dyDescent="0.25">
      <c r="B364" t="s">
        <v>866</v>
      </c>
      <c r="C364">
        <v>13456103</v>
      </c>
      <c r="D364" t="str">
        <f>"6931234570707"</f>
        <v>6931234570707</v>
      </c>
      <c r="E364" t="s">
        <v>871</v>
      </c>
      <c r="F364" t="s">
        <v>31</v>
      </c>
      <c r="G364">
        <v>1</v>
      </c>
      <c r="H364" t="s">
        <v>18</v>
      </c>
      <c r="I364" t="s">
        <v>16</v>
      </c>
      <c r="J364" t="s">
        <v>239</v>
      </c>
      <c r="L364" t="s">
        <v>18</v>
      </c>
      <c r="M364" t="s">
        <v>872</v>
      </c>
    </row>
    <row r="365" spans="2:13" x14ac:dyDescent="0.25">
      <c r="B365" t="s">
        <v>866</v>
      </c>
      <c r="C365">
        <v>13738362</v>
      </c>
      <c r="D365" t="str">
        <f>"6931234570738"</f>
        <v>6931234570738</v>
      </c>
      <c r="E365" t="s">
        <v>873</v>
      </c>
      <c r="F365" t="s">
        <v>268</v>
      </c>
      <c r="G365">
        <v>1</v>
      </c>
      <c r="H365" t="s">
        <v>18</v>
      </c>
      <c r="I365" t="s">
        <v>16</v>
      </c>
      <c r="J365" t="s">
        <v>239</v>
      </c>
      <c r="L365" t="s">
        <v>18</v>
      </c>
      <c r="M365" t="s">
        <v>874</v>
      </c>
    </row>
    <row r="366" spans="2:13" x14ac:dyDescent="0.25">
      <c r="B366" t="s">
        <v>866</v>
      </c>
      <c r="C366">
        <v>14277449</v>
      </c>
      <c r="D366" t="str">
        <f>"6914646061308"</f>
        <v>6914646061308</v>
      </c>
      <c r="E366" t="s">
        <v>875</v>
      </c>
      <c r="F366" t="s">
        <v>876</v>
      </c>
      <c r="G366">
        <v>1</v>
      </c>
      <c r="H366" t="s">
        <v>18</v>
      </c>
      <c r="I366" t="s">
        <v>16</v>
      </c>
      <c r="J366" t="s">
        <v>360</v>
      </c>
      <c r="L366" t="s">
        <v>18</v>
      </c>
      <c r="M366" t="s">
        <v>877</v>
      </c>
    </row>
    <row r="367" spans="2:13" x14ac:dyDescent="0.25">
      <c r="B367" t="s">
        <v>866</v>
      </c>
      <c r="C367">
        <v>14397096</v>
      </c>
      <c r="D367" t="str">
        <f>"4011097686103"</f>
        <v>4011097686103</v>
      </c>
      <c r="E367" t="s">
        <v>878</v>
      </c>
      <c r="F367" t="s">
        <v>191</v>
      </c>
      <c r="G367">
        <v>1</v>
      </c>
      <c r="H367" t="s">
        <v>18</v>
      </c>
      <c r="I367" t="s">
        <v>16</v>
      </c>
      <c r="J367" t="s">
        <v>429</v>
      </c>
      <c r="L367" t="s">
        <v>18</v>
      </c>
      <c r="M367" t="s">
        <v>879</v>
      </c>
    </row>
    <row r="368" spans="2:13" x14ac:dyDescent="0.25">
      <c r="B368" t="s">
        <v>866</v>
      </c>
      <c r="C368">
        <v>14409691</v>
      </c>
      <c r="D368" t="str">
        <f>"5708516980193"</f>
        <v>5708516980193</v>
      </c>
      <c r="E368" t="s">
        <v>880</v>
      </c>
      <c r="F368" t="s">
        <v>21</v>
      </c>
      <c r="G368">
        <v>1</v>
      </c>
      <c r="H368" t="s">
        <v>18</v>
      </c>
      <c r="I368" t="s">
        <v>16</v>
      </c>
      <c r="J368" t="s">
        <v>826</v>
      </c>
      <c r="K368" s="1">
        <v>42962</v>
      </c>
      <c r="L368" t="s">
        <v>18</v>
      </c>
      <c r="M368" t="s">
        <v>881</v>
      </c>
    </row>
    <row r="369" spans="2:13" x14ac:dyDescent="0.25">
      <c r="B369" t="s">
        <v>866</v>
      </c>
      <c r="C369">
        <v>14409712</v>
      </c>
      <c r="D369" t="str">
        <f>"5708516980209"</f>
        <v>5708516980209</v>
      </c>
      <c r="E369" t="s">
        <v>882</v>
      </c>
      <c r="F369" t="s">
        <v>109</v>
      </c>
      <c r="G369">
        <v>1</v>
      </c>
      <c r="H369" t="s">
        <v>18</v>
      </c>
      <c r="I369" t="s">
        <v>16</v>
      </c>
      <c r="J369" t="s">
        <v>826</v>
      </c>
      <c r="K369" s="1">
        <v>42962</v>
      </c>
      <c r="L369" t="s">
        <v>18</v>
      </c>
      <c r="M369" t="s">
        <v>883</v>
      </c>
    </row>
    <row r="370" spans="2:13" x14ac:dyDescent="0.25">
      <c r="B370" t="s">
        <v>866</v>
      </c>
      <c r="C370">
        <v>14940298</v>
      </c>
      <c r="D370" t="str">
        <f>"4005176940514"</f>
        <v>4005176940514</v>
      </c>
      <c r="E370" t="s">
        <v>884</v>
      </c>
      <c r="F370" t="s">
        <v>174</v>
      </c>
      <c r="G370">
        <v>1</v>
      </c>
      <c r="H370" t="s">
        <v>18</v>
      </c>
      <c r="I370" t="s">
        <v>16</v>
      </c>
      <c r="J370" t="s">
        <v>426</v>
      </c>
      <c r="L370" t="s">
        <v>18</v>
      </c>
      <c r="M370" t="s">
        <v>885</v>
      </c>
    </row>
    <row r="371" spans="2:13" x14ac:dyDescent="0.25">
      <c r="B371" t="s">
        <v>866</v>
      </c>
      <c r="C371">
        <v>15970510</v>
      </c>
      <c r="D371" t="str">
        <f>"7350078200356"</f>
        <v>7350078200356</v>
      </c>
      <c r="E371" t="s">
        <v>886</v>
      </c>
      <c r="F371" t="s">
        <v>109</v>
      </c>
      <c r="G371">
        <v>1</v>
      </c>
      <c r="H371" t="s">
        <v>18</v>
      </c>
      <c r="I371" t="s">
        <v>16</v>
      </c>
      <c r="J371" t="s">
        <v>864</v>
      </c>
      <c r="L371" t="s">
        <v>18</v>
      </c>
      <c r="M371" t="s">
        <v>887</v>
      </c>
    </row>
    <row r="372" spans="2:13" x14ac:dyDescent="0.25">
      <c r="B372" t="s">
        <v>866</v>
      </c>
      <c r="C372">
        <v>16320375</v>
      </c>
      <c r="D372" t="str">
        <f>"4627091397268"</f>
        <v>4627091397268</v>
      </c>
      <c r="E372" t="s">
        <v>888</v>
      </c>
      <c r="F372" t="s">
        <v>889</v>
      </c>
      <c r="G372">
        <v>1</v>
      </c>
      <c r="H372" t="s">
        <v>18</v>
      </c>
      <c r="I372" t="s">
        <v>16</v>
      </c>
      <c r="J372" t="s">
        <v>854</v>
      </c>
      <c r="L372" t="s">
        <v>18</v>
      </c>
      <c r="M372" t="s">
        <v>890</v>
      </c>
    </row>
    <row r="373" spans="2:13" x14ac:dyDescent="0.25">
      <c r="B373" t="s">
        <v>866</v>
      </c>
      <c r="C373">
        <v>18224862</v>
      </c>
      <c r="D373" t="str">
        <f>"4627112611007"</f>
        <v>4627112611007</v>
      </c>
      <c r="E373" t="s">
        <v>891</v>
      </c>
      <c r="F373" t="s">
        <v>425</v>
      </c>
      <c r="G373">
        <v>1</v>
      </c>
      <c r="H373" t="s">
        <v>18</v>
      </c>
      <c r="I373" t="s">
        <v>16</v>
      </c>
      <c r="J373" t="s">
        <v>892</v>
      </c>
      <c r="L373" t="s">
        <v>18</v>
      </c>
      <c r="M373" t="s">
        <v>893</v>
      </c>
    </row>
    <row r="374" spans="2:13" x14ac:dyDescent="0.25">
      <c r="B374" t="s">
        <v>866</v>
      </c>
      <c r="C374">
        <v>18624882</v>
      </c>
      <c r="D374" t="str">
        <f>"4011097377100"</f>
        <v>4011097377100</v>
      </c>
      <c r="E374" t="s">
        <v>894</v>
      </c>
      <c r="F374" t="s">
        <v>194</v>
      </c>
      <c r="G374">
        <v>1</v>
      </c>
      <c r="H374" t="s">
        <v>18</v>
      </c>
      <c r="I374" t="s">
        <v>51</v>
      </c>
      <c r="J374" t="s">
        <v>429</v>
      </c>
      <c r="L374" t="s">
        <v>18</v>
      </c>
      <c r="M374" t="s">
        <v>300</v>
      </c>
    </row>
    <row r="375" spans="2:13" x14ac:dyDescent="0.25">
      <c r="B375" t="s">
        <v>895</v>
      </c>
      <c r="C375">
        <v>11701144</v>
      </c>
      <c r="D375" t="str">
        <f>"6914646026208"</f>
        <v>6914646026208</v>
      </c>
      <c r="E375" t="s">
        <v>896</v>
      </c>
      <c r="F375" t="s">
        <v>897</v>
      </c>
      <c r="G375">
        <v>1</v>
      </c>
      <c r="H375" t="s">
        <v>18</v>
      </c>
      <c r="I375" t="s">
        <v>16</v>
      </c>
      <c r="J375" t="s">
        <v>360</v>
      </c>
      <c r="L375" t="s">
        <v>18</v>
      </c>
      <c r="M375" t="s">
        <v>898</v>
      </c>
    </row>
    <row r="376" spans="2:13" x14ac:dyDescent="0.25">
      <c r="B376" t="s">
        <v>895</v>
      </c>
      <c r="C376">
        <v>12199037</v>
      </c>
      <c r="D376" t="str">
        <f>"6914646212007"</f>
        <v>6914646212007</v>
      </c>
      <c r="E376" t="s">
        <v>899</v>
      </c>
      <c r="F376" t="s">
        <v>389</v>
      </c>
      <c r="G376">
        <v>1</v>
      </c>
      <c r="H376" t="s">
        <v>18</v>
      </c>
      <c r="I376" t="s">
        <v>16</v>
      </c>
      <c r="J376" t="s">
        <v>360</v>
      </c>
      <c r="L376" t="s">
        <v>18</v>
      </c>
      <c r="M376" t="s">
        <v>900</v>
      </c>
    </row>
    <row r="377" spans="2:13" x14ac:dyDescent="0.25">
      <c r="B377" t="s">
        <v>895</v>
      </c>
      <c r="C377">
        <v>12762299</v>
      </c>
      <c r="D377" t="str">
        <f>"4011097532851"</f>
        <v>4011097532851</v>
      </c>
      <c r="E377" t="s">
        <v>901</v>
      </c>
      <c r="F377" t="s">
        <v>48</v>
      </c>
      <c r="G377">
        <v>1</v>
      </c>
      <c r="H377" t="s">
        <v>18</v>
      </c>
      <c r="I377" t="s">
        <v>16</v>
      </c>
      <c r="J377" t="s">
        <v>429</v>
      </c>
      <c r="L377" t="s">
        <v>18</v>
      </c>
      <c r="M377" t="s">
        <v>902</v>
      </c>
    </row>
    <row r="378" spans="2:13" x14ac:dyDescent="0.25">
      <c r="B378" t="s">
        <v>895</v>
      </c>
      <c r="C378">
        <v>13456349</v>
      </c>
      <c r="D378" t="str">
        <f>"6931234570691"</f>
        <v>6931234570691</v>
      </c>
      <c r="E378" t="s">
        <v>903</v>
      </c>
      <c r="F378" t="s">
        <v>109</v>
      </c>
      <c r="G378">
        <v>1</v>
      </c>
      <c r="H378" t="s">
        <v>18</v>
      </c>
      <c r="I378" t="s">
        <v>16</v>
      </c>
      <c r="J378" t="s">
        <v>239</v>
      </c>
      <c r="L378" t="s">
        <v>18</v>
      </c>
      <c r="M378" t="s">
        <v>904</v>
      </c>
    </row>
    <row r="379" spans="2:13" x14ac:dyDescent="0.25">
      <c r="B379" t="s">
        <v>895</v>
      </c>
      <c r="C379">
        <v>13738389</v>
      </c>
      <c r="D379" t="str">
        <f>"6931234570721"</f>
        <v>6931234570721</v>
      </c>
      <c r="E379" t="s">
        <v>905</v>
      </c>
      <c r="F379" t="s">
        <v>48</v>
      </c>
      <c r="G379">
        <v>1</v>
      </c>
      <c r="H379" t="s">
        <v>18</v>
      </c>
      <c r="I379" t="s">
        <v>16</v>
      </c>
      <c r="J379" t="s">
        <v>239</v>
      </c>
      <c r="L379" t="s">
        <v>18</v>
      </c>
      <c r="M379" t="s">
        <v>904</v>
      </c>
    </row>
    <row r="380" spans="2:13" x14ac:dyDescent="0.25">
      <c r="B380" t="s">
        <v>895</v>
      </c>
      <c r="C380">
        <v>14172364</v>
      </c>
      <c r="D380" t="str">
        <f>"5708516980346"</f>
        <v>5708516980346</v>
      </c>
      <c r="E380" t="s">
        <v>906</v>
      </c>
      <c r="F380" t="s">
        <v>21</v>
      </c>
      <c r="G380">
        <v>1</v>
      </c>
      <c r="H380" t="s">
        <v>18</v>
      </c>
      <c r="I380" t="s">
        <v>16</v>
      </c>
      <c r="J380" t="s">
        <v>826</v>
      </c>
      <c r="K380" s="1">
        <v>42962</v>
      </c>
      <c r="L380" t="s">
        <v>18</v>
      </c>
      <c r="M380" t="s">
        <v>907</v>
      </c>
    </row>
    <row r="381" spans="2:13" x14ac:dyDescent="0.25">
      <c r="B381" t="s">
        <v>895</v>
      </c>
      <c r="C381">
        <v>14277975</v>
      </c>
      <c r="D381" t="str">
        <f>"4051343031318"</f>
        <v>4051343031318</v>
      </c>
      <c r="E381" t="s">
        <v>908</v>
      </c>
      <c r="F381" t="s">
        <v>165</v>
      </c>
      <c r="G381">
        <v>1</v>
      </c>
      <c r="H381" t="s">
        <v>18</v>
      </c>
      <c r="I381" t="s">
        <v>16</v>
      </c>
      <c r="J381" t="s">
        <v>52</v>
      </c>
      <c r="L381" t="s">
        <v>18</v>
      </c>
      <c r="M381" t="s">
        <v>909</v>
      </c>
    </row>
    <row r="382" spans="2:13" x14ac:dyDescent="0.25">
      <c r="B382" t="s">
        <v>895</v>
      </c>
      <c r="C382">
        <v>14397061</v>
      </c>
      <c r="D382" t="str">
        <f>"4011097686127"</f>
        <v>4011097686127</v>
      </c>
      <c r="E382" t="s">
        <v>910</v>
      </c>
      <c r="F382" t="s">
        <v>227</v>
      </c>
      <c r="G382">
        <v>1</v>
      </c>
      <c r="H382" t="s">
        <v>18</v>
      </c>
      <c r="I382" t="s">
        <v>16</v>
      </c>
      <c r="J382" t="s">
        <v>429</v>
      </c>
      <c r="L382" t="s">
        <v>18</v>
      </c>
      <c r="M382" t="s">
        <v>911</v>
      </c>
    </row>
    <row r="383" spans="2:13" x14ac:dyDescent="0.25">
      <c r="B383" t="s">
        <v>895</v>
      </c>
      <c r="C383">
        <v>14409641</v>
      </c>
      <c r="D383" t="str">
        <f>"4051343039390"</f>
        <v>4051343039390</v>
      </c>
      <c r="E383" t="s">
        <v>912</v>
      </c>
      <c r="F383" t="s">
        <v>442</v>
      </c>
      <c r="G383">
        <v>1</v>
      </c>
      <c r="H383" t="s">
        <v>18</v>
      </c>
      <c r="I383" t="s">
        <v>16</v>
      </c>
      <c r="J383" t="s">
        <v>52</v>
      </c>
      <c r="L383" t="s">
        <v>18</v>
      </c>
      <c r="M383" t="s">
        <v>913</v>
      </c>
    </row>
    <row r="384" spans="2:13" x14ac:dyDescent="0.25">
      <c r="B384" t="s">
        <v>895</v>
      </c>
      <c r="C384">
        <v>14409704</v>
      </c>
      <c r="D384" t="str">
        <f>"5708516980353"</f>
        <v>5708516980353</v>
      </c>
      <c r="E384" t="s">
        <v>914</v>
      </c>
      <c r="F384" t="s">
        <v>31</v>
      </c>
      <c r="G384">
        <v>1</v>
      </c>
      <c r="H384" t="s">
        <v>18</v>
      </c>
      <c r="I384" t="s">
        <v>16</v>
      </c>
      <c r="J384" t="s">
        <v>826</v>
      </c>
      <c r="K384" s="1">
        <v>42962</v>
      </c>
      <c r="L384" t="s">
        <v>18</v>
      </c>
      <c r="M384" t="s">
        <v>915</v>
      </c>
    </row>
    <row r="385" spans="2:13" x14ac:dyDescent="0.25">
      <c r="B385" t="s">
        <v>895</v>
      </c>
      <c r="C385">
        <v>15158521</v>
      </c>
      <c r="D385" t="str">
        <f>"4051343027823"</f>
        <v>4051343027823</v>
      </c>
      <c r="E385" t="s">
        <v>916</v>
      </c>
      <c r="F385" t="s">
        <v>174</v>
      </c>
      <c r="G385">
        <v>1</v>
      </c>
      <c r="H385" t="s">
        <v>18</v>
      </c>
      <c r="I385" t="s">
        <v>16</v>
      </c>
      <c r="J385" t="s">
        <v>52</v>
      </c>
      <c r="L385" t="s">
        <v>18</v>
      </c>
      <c r="M385" t="s">
        <v>917</v>
      </c>
    </row>
    <row r="386" spans="2:13" x14ac:dyDescent="0.25">
      <c r="B386" t="s">
        <v>895</v>
      </c>
      <c r="C386">
        <v>15354354</v>
      </c>
      <c r="D386" t="str">
        <f>"4011097731483"</f>
        <v>4011097731483</v>
      </c>
      <c r="E386" t="s">
        <v>918</v>
      </c>
      <c r="F386" t="s">
        <v>379</v>
      </c>
      <c r="G386">
        <v>0</v>
      </c>
      <c r="H386" t="s">
        <v>18</v>
      </c>
      <c r="I386" t="s">
        <v>16</v>
      </c>
      <c r="J386" t="s">
        <v>429</v>
      </c>
      <c r="K386" s="1">
        <v>42962</v>
      </c>
      <c r="L386" t="s">
        <v>18</v>
      </c>
      <c r="M386" t="s">
        <v>919</v>
      </c>
    </row>
    <row r="387" spans="2:13" x14ac:dyDescent="0.25">
      <c r="B387" t="s">
        <v>895</v>
      </c>
      <c r="C387">
        <v>15354371</v>
      </c>
      <c r="D387" t="str">
        <f>"4011097731476"</f>
        <v>4011097731476</v>
      </c>
      <c r="E387" t="s">
        <v>920</v>
      </c>
      <c r="F387" t="s">
        <v>379</v>
      </c>
      <c r="G387">
        <v>1</v>
      </c>
      <c r="H387" t="s">
        <v>18</v>
      </c>
      <c r="I387" t="s">
        <v>16</v>
      </c>
      <c r="J387" t="s">
        <v>429</v>
      </c>
      <c r="L387" t="s">
        <v>18</v>
      </c>
      <c r="M387" t="s">
        <v>921</v>
      </c>
    </row>
    <row r="388" spans="2:13" x14ac:dyDescent="0.25">
      <c r="B388" t="s">
        <v>895</v>
      </c>
      <c r="C388">
        <v>15354397</v>
      </c>
      <c r="D388" t="str">
        <f>"4011097731490"</f>
        <v>4011097731490</v>
      </c>
      <c r="E388" t="s">
        <v>922</v>
      </c>
      <c r="F388" t="s">
        <v>227</v>
      </c>
      <c r="G388">
        <v>0</v>
      </c>
      <c r="H388" t="s">
        <v>18</v>
      </c>
      <c r="I388" t="s">
        <v>16</v>
      </c>
      <c r="J388" t="s">
        <v>429</v>
      </c>
      <c r="K388" s="1">
        <v>42952</v>
      </c>
      <c r="L388" t="s">
        <v>18</v>
      </c>
      <c r="M388" t="s">
        <v>923</v>
      </c>
    </row>
    <row r="389" spans="2:13" x14ac:dyDescent="0.25">
      <c r="B389" t="s">
        <v>895</v>
      </c>
      <c r="C389">
        <v>15554313</v>
      </c>
      <c r="D389" t="str">
        <f>"4627091397282"</f>
        <v>4627091397282</v>
      </c>
      <c r="E389" t="s">
        <v>924</v>
      </c>
      <c r="F389" t="s">
        <v>40</v>
      </c>
      <c r="G389">
        <v>1</v>
      </c>
      <c r="H389" t="s">
        <v>18</v>
      </c>
      <c r="I389" t="s">
        <v>16</v>
      </c>
      <c r="J389" t="s">
        <v>854</v>
      </c>
      <c r="L389" t="s">
        <v>18</v>
      </c>
      <c r="M389" t="s">
        <v>925</v>
      </c>
    </row>
    <row r="390" spans="2:13" x14ac:dyDescent="0.25">
      <c r="B390" t="s">
        <v>895</v>
      </c>
      <c r="C390">
        <v>15613811</v>
      </c>
      <c r="D390" t="str">
        <f>"3276004472588"</f>
        <v>3276004472588</v>
      </c>
      <c r="E390" t="s">
        <v>926</v>
      </c>
      <c r="F390" t="s">
        <v>410</v>
      </c>
      <c r="G390">
        <v>1</v>
      </c>
      <c r="H390" t="s">
        <v>18</v>
      </c>
      <c r="I390" t="s">
        <v>16</v>
      </c>
      <c r="J390" t="s">
        <v>17</v>
      </c>
      <c r="L390" t="s">
        <v>18</v>
      </c>
      <c r="M390" t="s">
        <v>927</v>
      </c>
    </row>
    <row r="391" spans="2:13" x14ac:dyDescent="0.25">
      <c r="B391" t="s">
        <v>895</v>
      </c>
      <c r="C391">
        <v>15695466</v>
      </c>
      <c r="D391" t="str">
        <f>"4005176311901"</f>
        <v>4005176311901</v>
      </c>
      <c r="E391" t="s">
        <v>928</v>
      </c>
      <c r="F391" t="s">
        <v>847</v>
      </c>
      <c r="G391">
        <v>1</v>
      </c>
      <c r="H391" t="s">
        <v>18</v>
      </c>
      <c r="I391" t="s">
        <v>16</v>
      </c>
      <c r="J391" t="s">
        <v>426</v>
      </c>
      <c r="L391" t="s">
        <v>18</v>
      </c>
      <c r="M391" t="s">
        <v>929</v>
      </c>
    </row>
    <row r="392" spans="2:13" x14ac:dyDescent="0.25">
      <c r="B392" t="s">
        <v>895</v>
      </c>
      <c r="C392">
        <v>16423366</v>
      </c>
      <c r="D392" t="str">
        <f>"3800861033752"</f>
        <v>3800861033752</v>
      </c>
      <c r="E392" t="s">
        <v>930</v>
      </c>
      <c r="F392" t="s">
        <v>31</v>
      </c>
      <c r="G392">
        <v>0</v>
      </c>
      <c r="H392" t="s">
        <v>18</v>
      </c>
      <c r="I392" t="s">
        <v>51</v>
      </c>
      <c r="J392" t="s">
        <v>221</v>
      </c>
      <c r="L392" t="s">
        <v>18</v>
      </c>
      <c r="M392" t="s">
        <v>931</v>
      </c>
    </row>
    <row r="393" spans="2:13" x14ac:dyDescent="0.25">
      <c r="B393" t="s">
        <v>895</v>
      </c>
      <c r="C393">
        <v>17190293</v>
      </c>
      <c r="D393" t="str">
        <f>"6914646323154"</f>
        <v>6914646323154</v>
      </c>
      <c r="E393" t="s">
        <v>932</v>
      </c>
      <c r="F393" t="s">
        <v>933</v>
      </c>
      <c r="G393">
        <v>1</v>
      </c>
      <c r="H393" t="s">
        <v>18</v>
      </c>
      <c r="I393" t="s">
        <v>16</v>
      </c>
      <c r="J393" t="s">
        <v>360</v>
      </c>
      <c r="L393" t="s">
        <v>18</v>
      </c>
      <c r="M393" t="s">
        <v>934</v>
      </c>
    </row>
    <row r="394" spans="2:13" x14ac:dyDescent="0.25">
      <c r="B394" t="s">
        <v>895</v>
      </c>
      <c r="C394">
        <v>18224871</v>
      </c>
      <c r="D394" t="str">
        <f>"4627112611014"</f>
        <v>4627112611014</v>
      </c>
      <c r="E394" t="s">
        <v>935</v>
      </c>
      <c r="F394" t="s">
        <v>522</v>
      </c>
      <c r="G394">
        <v>1</v>
      </c>
      <c r="H394" t="s">
        <v>18</v>
      </c>
      <c r="I394" t="s">
        <v>16</v>
      </c>
      <c r="J394" t="s">
        <v>892</v>
      </c>
      <c r="L394" t="s">
        <v>18</v>
      </c>
      <c r="M394" t="s">
        <v>280</v>
      </c>
    </row>
    <row r="395" spans="2:13" x14ac:dyDescent="0.25">
      <c r="B395" t="s">
        <v>895</v>
      </c>
      <c r="C395">
        <v>18224889</v>
      </c>
      <c r="D395" t="str">
        <f>"4627112611038"</f>
        <v>4627112611038</v>
      </c>
      <c r="E395" t="s">
        <v>936</v>
      </c>
      <c r="F395" t="s">
        <v>425</v>
      </c>
      <c r="G395">
        <v>1</v>
      </c>
      <c r="H395" t="s">
        <v>18</v>
      </c>
      <c r="I395" t="s">
        <v>16</v>
      </c>
      <c r="J395" t="s">
        <v>892</v>
      </c>
      <c r="L395" t="s">
        <v>18</v>
      </c>
      <c r="M395" t="s">
        <v>937</v>
      </c>
    </row>
    <row r="396" spans="2:13" x14ac:dyDescent="0.25">
      <c r="B396" t="s">
        <v>895</v>
      </c>
      <c r="C396">
        <v>18224900</v>
      </c>
      <c r="D396" t="str">
        <f>"4627091397077"</f>
        <v>4627091397077</v>
      </c>
      <c r="E396" t="s">
        <v>938</v>
      </c>
      <c r="F396" t="s">
        <v>268</v>
      </c>
      <c r="G396">
        <v>1</v>
      </c>
      <c r="H396" t="s">
        <v>18</v>
      </c>
      <c r="I396" t="s">
        <v>16</v>
      </c>
      <c r="J396" t="s">
        <v>854</v>
      </c>
      <c r="L396" t="s">
        <v>18</v>
      </c>
      <c r="M396" t="s">
        <v>939</v>
      </c>
    </row>
    <row r="397" spans="2:13" x14ac:dyDescent="0.25">
      <c r="B397" t="s">
        <v>895</v>
      </c>
      <c r="C397">
        <v>18624831</v>
      </c>
      <c r="D397" t="str">
        <f>"2000186248317"</f>
        <v>2000186248317</v>
      </c>
      <c r="E397" t="s">
        <v>940</v>
      </c>
      <c r="F397" t="s">
        <v>194</v>
      </c>
      <c r="G397">
        <v>1</v>
      </c>
      <c r="H397" t="s">
        <v>18</v>
      </c>
      <c r="I397" t="s">
        <v>51</v>
      </c>
      <c r="J397" t="s">
        <v>429</v>
      </c>
      <c r="L397" t="s">
        <v>18</v>
      </c>
      <c r="M397" t="s">
        <v>941</v>
      </c>
    </row>
    <row r="398" spans="2:13" x14ac:dyDescent="0.25">
      <c r="B398" t="s">
        <v>895</v>
      </c>
      <c r="C398">
        <v>18625084</v>
      </c>
      <c r="D398" t="str">
        <f>"3800861047957"</f>
        <v>3800861047957</v>
      </c>
      <c r="E398" t="s">
        <v>942</v>
      </c>
      <c r="F398" t="s">
        <v>194</v>
      </c>
      <c r="G398">
        <v>1</v>
      </c>
      <c r="H398" t="s">
        <v>18</v>
      </c>
      <c r="I398" t="s">
        <v>680</v>
      </c>
      <c r="J398" t="s">
        <v>221</v>
      </c>
      <c r="L398" t="s">
        <v>18</v>
      </c>
      <c r="M398" t="s">
        <v>943</v>
      </c>
    </row>
    <row r="399" spans="2:13" x14ac:dyDescent="0.25">
      <c r="B399" t="s">
        <v>944</v>
      </c>
      <c r="C399">
        <v>14172110</v>
      </c>
      <c r="D399" t="str">
        <f>"4051343027786"</f>
        <v>4051343027786</v>
      </c>
      <c r="E399" t="s">
        <v>945</v>
      </c>
      <c r="F399" t="s">
        <v>649</v>
      </c>
      <c r="G399">
        <v>1</v>
      </c>
      <c r="H399" t="s">
        <v>18</v>
      </c>
      <c r="I399" t="s">
        <v>16</v>
      </c>
      <c r="J399" t="s">
        <v>52</v>
      </c>
      <c r="L399" t="s">
        <v>18</v>
      </c>
      <c r="M399" t="s">
        <v>946</v>
      </c>
    </row>
    <row r="400" spans="2:13" x14ac:dyDescent="0.25">
      <c r="B400" t="s">
        <v>944</v>
      </c>
      <c r="C400">
        <v>15613803</v>
      </c>
      <c r="D400" t="str">
        <f>"3276004472885"</f>
        <v>3276004472885</v>
      </c>
      <c r="E400" t="s">
        <v>947</v>
      </c>
      <c r="F400" t="s">
        <v>948</v>
      </c>
      <c r="G400">
        <v>1</v>
      </c>
      <c r="H400" t="s">
        <v>18</v>
      </c>
      <c r="I400" t="s">
        <v>16</v>
      </c>
      <c r="J400" t="s">
        <v>17</v>
      </c>
      <c r="L400" t="s">
        <v>18</v>
      </c>
      <c r="M400" t="s">
        <v>280</v>
      </c>
    </row>
    <row r="401" spans="2:13" x14ac:dyDescent="0.25">
      <c r="B401" t="s">
        <v>944</v>
      </c>
      <c r="C401">
        <v>15613820</v>
      </c>
      <c r="D401" t="str">
        <f>"3276200157548"</f>
        <v>3276200157548</v>
      </c>
      <c r="E401" t="s">
        <v>949</v>
      </c>
      <c r="F401" t="s">
        <v>194</v>
      </c>
      <c r="G401">
        <v>1</v>
      </c>
      <c r="H401" t="s">
        <v>18</v>
      </c>
      <c r="I401" t="s">
        <v>16</v>
      </c>
      <c r="J401" t="s">
        <v>17</v>
      </c>
      <c r="L401" t="s">
        <v>18</v>
      </c>
      <c r="M401" t="s">
        <v>950</v>
      </c>
    </row>
    <row r="402" spans="2:13" x14ac:dyDescent="0.25">
      <c r="B402" t="s">
        <v>951</v>
      </c>
      <c r="C402">
        <v>15613740</v>
      </c>
      <c r="D402" t="str">
        <f>"3276004472939"</f>
        <v>3276004472939</v>
      </c>
      <c r="E402" t="s">
        <v>952</v>
      </c>
      <c r="F402" t="s">
        <v>295</v>
      </c>
      <c r="G402">
        <v>1</v>
      </c>
      <c r="H402" t="s">
        <v>18</v>
      </c>
      <c r="I402" t="s">
        <v>16</v>
      </c>
      <c r="J402" t="s">
        <v>17</v>
      </c>
      <c r="L402" t="s">
        <v>18</v>
      </c>
      <c r="M402" t="s">
        <v>953</v>
      </c>
    </row>
    <row r="403" spans="2:13" x14ac:dyDescent="0.25">
      <c r="B403" t="s">
        <v>951</v>
      </c>
      <c r="C403">
        <v>15613758</v>
      </c>
      <c r="D403" t="str">
        <f>"3276004472632"</f>
        <v>3276004472632</v>
      </c>
      <c r="E403" t="s">
        <v>954</v>
      </c>
      <c r="F403" t="s">
        <v>60</v>
      </c>
      <c r="G403">
        <v>1</v>
      </c>
      <c r="H403" t="s">
        <v>18</v>
      </c>
      <c r="I403" t="s">
        <v>16</v>
      </c>
      <c r="J403" t="s">
        <v>17</v>
      </c>
      <c r="L403" t="s">
        <v>18</v>
      </c>
      <c r="M403" t="s">
        <v>955</v>
      </c>
    </row>
    <row r="404" spans="2:13" x14ac:dyDescent="0.25">
      <c r="B404" t="s">
        <v>951</v>
      </c>
      <c r="C404">
        <v>15613766</v>
      </c>
      <c r="D404" t="str">
        <f>"3276200157586"</f>
        <v>3276200157586</v>
      </c>
      <c r="E404" t="s">
        <v>956</v>
      </c>
      <c r="F404" t="s">
        <v>957</v>
      </c>
      <c r="G404">
        <v>1</v>
      </c>
      <c r="H404" t="s">
        <v>18</v>
      </c>
      <c r="I404" t="s">
        <v>16</v>
      </c>
      <c r="J404" t="s">
        <v>17</v>
      </c>
      <c r="L404" t="s">
        <v>18</v>
      </c>
      <c r="M404" t="s">
        <v>958</v>
      </c>
    </row>
    <row r="405" spans="2:13" x14ac:dyDescent="0.25">
      <c r="B405" t="s">
        <v>951</v>
      </c>
      <c r="C405">
        <v>15619703</v>
      </c>
      <c r="D405" t="str">
        <f>"4627091397275"</f>
        <v>4627091397275</v>
      </c>
      <c r="E405" t="s">
        <v>959</v>
      </c>
      <c r="F405" t="s">
        <v>366</v>
      </c>
      <c r="G405">
        <v>1</v>
      </c>
      <c r="H405" t="s">
        <v>18</v>
      </c>
      <c r="I405" t="s">
        <v>16</v>
      </c>
      <c r="J405" t="s">
        <v>854</v>
      </c>
      <c r="L405" t="s">
        <v>18</v>
      </c>
      <c r="M405" t="s">
        <v>960</v>
      </c>
    </row>
    <row r="406" spans="2:13" x14ac:dyDescent="0.25">
      <c r="B406" t="s">
        <v>951</v>
      </c>
      <c r="C406">
        <v>15695474</v>
      </c>
      <c r="D406" t="str">
        <f>"4005176311789"</f>
        <v>4005176311789</v>
      </c>
      <c r="E406" t="s">
        <v>961</v>
      </c>
      <c r="F406" t="s">
        <v>425</v>
      </c>
      <c r="G406">
        <v>1</v>
      </c>
      <c r="H406" t="s">
        <v>18</v>
      </c>
      <c r="I406" t="s">
        <v>16</v>
      </c>
      <c r="J406" t="s">
        <v>426</v>
      </c>
      <c r="L406" t="s">
        <v>18</v>
      </c>
      <c r="M406" t="s">
        <v>962</v>
      </c>
    </row>
    <row r="407" spans="2:13" x14ac:dyDescent="0.25">
      <c r="B407" t="s">
        <v>951</v>
      </c>
      <c r="C407">
        <v>15781292</v>
      </c>
      <c r="D407" t="str">
        <f>"4011097760940"</f>
        <v>4011097760940</v>
      </c>
      <c r="E407" t="s">
        <v>963</v>
      </c>
      <c r="F407" t="s">
        <v>21</v>
      </c>
      <c r="G407">
        <v>1</v>
      </c>
      <c r="H407" t="s">
        <v>18</v>
      </c>
      <c r="I407" t="s">
        <v>51</v>
      </c>
      <c r="J407" t="s">
        <v>429</v>
      </c>
      <c r="L407" t="s">
        <v>18</v>
      </c>
      <c r="M407" t="s">
        <v>964</v>
      </c>
    </row>
    <row r="408" spans="2:13" x14ac:dyDescent="0.25">
      <c r="B408" t="s">
        <v>951</v>
      </c>
      <c r="C408">
        <v>15781313</v>
      </c>
      <c r="D408" t="str">
        <f>"4011097754420"</f>
        <v>4011097754420</v>
      </c>
      <c r="E408" t="s">
        <v>965</v>
      </c>
      <c r="F408" t="s">
        <v>227</v>
      </c>
      <c r="G408">
        <v>1</v>
      </c>
      <c r="H408" t="s">
        <v>18</v>
      </c>
      <c r="I408" t="s">
        <v>16</v>
      </c>
      <c r="J408" t="s">
        <v>429</v>
      </c>
      <c r="L408" t="s">
        <v>18</v>
      </c>
      <c r="M408" t="s">
        <v>966</v>
      </c>
    </row>
    <row r="409" spans="2:13" x14ac:dyDescent="0.25">
      <c r="B409" t="s">
        <v>951</v>
      </c>
      <c r="C409">
        <v>15781330</v>
      </c>
      <c r="D409" t="str">
        <f>"4011097754529"</f>
        <v>4011097754529</v>
      </c>
      <c r="E409" t="s">
        <v>967</v>
      </c>
      <c r="F409" t="s">
        <v>191</v>
      </c>
      <c r="G409">
        <v>1</v>
      </c>
      <c r="H409" t="s">
        <v>18</v>
      </c>
      <c r="I409" t="s">
        <v>16</v>
      </c>
      <c r="J409" t="s">
        <v>429</v>
      </c>
      <c r="L409" t="s">
        <v>18</v>
      </c>
      <c r="M409" t="s">
        <v>968</v>
      </c>
    </row>
    <row r="410" spans="2:13" x14ac:dyDescent="0.25">
      <c r="B410" t="s">
        <v>969</v>
      </c>
      <c r="C410">
        <v>15549645</v>
      </c>
      <c r="D410" t="str">
        <f>"4627091393079"</f>
        <v>4627091393079</v>
      </c>
      <c r="E410" t="s">
        <v>970</v>
      </c>
      <c r="F410" t="s">
        <v>971</v>
      </c>
      <c r="G410">
        <v>1</v>
      </c>
      <c r="H410" t="s">
        <v>18</v>
      </c>
      <c r="I410" t="s">
        <v>16</v>
      </c>
      <c r="J410" t="s">
        <v>854</v>
      </c>
      <c r="L410" t="s">
        <v>18</v>
      </c>
      <c r="M410" t="s">
        <v>862</v>
      </c>
    </row>
    <row r="411" spans="2:13" x14ac:dyDescent="0.25">
      <c r="B411" t="s">
        <v>969</v>
      </c>
      <c r="C411">
        <v>15613782</v>
      </c>
      <c r="D411" t="str">
        <f>"3276004472533"</f>
        <v>3276004472533</v>
      </c>
      <c r="E411" t="s">
        <v>972</v>
      </c>
      <c r="F411" t="s">
        <v>973</v>
      </c>
      <c r="G411">
        <v>1</v>
      </c>
      <c r="H411" t="s">
        <v>18</v>
      </c>
      <c r="I411" t="s">
        <v>16</v>
      </c>
      <c r="J411" t="s">
        <v>17</v>
      </c>
      <c r="L411" t="s">
        <v>18</v>
      </c>
      <c r="M411" t="s">
        <v>974</v>
      </c>
    </row>
    <row r="412" spans="2:13" x14ac:dyDescent="0.25">
      <c r="B412" t="s">
        <v>969</v>
      </c>
      <c r="C412">
        <v>15695440</v>
      </c>
      <c r="D412" t="str">
        <f>"4607145111231"</f>
        <v>4607145111231</v>
      </c>
      <c r="E412" t="s">
        <v>975</v>
      </c>
      <c r="F412" t="s">
        <v>976</v>
      </c>
      <c r="G412">
        <v>1</v>
      </c>
      <c r="H412" t="s">
        <v>18</v>
      </c>
      <c r="I412" t="s">
        <v>16</v>
      </c>
      <c r="J412" t="s">
        <v>360</v>
      </c>
      <c r="L412" t="s">
        <v>18</v>
      </c>
      <c r="M412" t="s">
        <v>114</v>
      </c>
    </row>
    <row r="413" spans="2:13" x14ac:dyDescent="0.25">
      <c r="B413" t="s">
        <v>969</v>
      </c>
      <c r="C413">
        <v>15695458</v>
      </c>
      <c r="D413" t="str">
        <f>"4005176311765"</f>
        <v>4005176311765</v>
      </c>
      <c r="E413" t="s">
        <v>977</v>
      </c>
      <c r="F413" t="s">
        <v>788</v>
      </c>
      <c r="G413">
        <v>1</v>
      </c>
      <c r="H413" t="s">
        <v>18</v>
      </c>
      <c r="I413" t="s">
        <v>16</v>
      </c>
      <c r="J413" t="s">
        <v>426</v>
      </c>
      <c r="L413" t="s">
        <v>18</v>
      </c>
      <c r="M413" t="s">
        <v>978</v>
      </c>
    </row>
    <row r="414" spans="2:13" x14ac:dyDescent="0.25">
      <c r="B414" t="s">
        <v>969</v>
      </c>
      <c r="C414">
        <v>15781305</v>
      </c>
      <c r="D414" t="str">
        <f>"4011097754413"</f>
        <v>4011097754413</v>
      </c>
      <c r="E414" t="s">
        <v>979</v>
      </c>
      <c r="F414" t="s">
        <v>60</v>
      </c>
      <c r="G414">
        <v>1</v>
      </c>
      <c r="H414" t="s">
        <v>18</v>
      </c>
      <c r="I414" t="s">
        <v>51</v>
      </c>
      <c r="J414" t="s">
        <v>429</v>
      </c>
      <c r="L414" t="s">
        <v>18</v>
      </c>
      <c r="M414" t="s">
        <v>980</v>
      </c>
    </row>
    <row r="415" spans="2:13" x14ac:dyDescent="0.25">
      <c r="B415" t="s">
        <v>969</v>
      </c>
      <c r="C415">
        <v>15781321</v>
      </c>
      <c r="D415" t="str">
        <f>"4011097754406"</f>
        <v>4011097754406</v>
      </c>
      <c r="E415" t="s">
        <v>981</v>
      </c>
      <c r="F415" t="s">
        <v>379</v>
      </c>
      <c r="G415">
        <v>1</v>
      </c>
      <c r="H415" t="s">
        <v>18</v>
      </c>
      <c r="I415" t="s">
        <v>16</v>
      </c>
      <c r="J415" t="s">
        <v>429</v>
      </c>
      <c r="L415" t="s">
        <v>18</v>
      </c>
      <c r="M415" t="s">
        <v>982</v>
      </c>
    </row>
    <row r="416" spans="2:13" x14ac:dyDescent="0.25">
      <c r="B416" t="s">
        <v>983</v>
      </c>
      <c r="C416">
        <v>15158564</v>
      </c>
      <c r="D416" t="str">
        <f>"4051343026116"</f>
        <v>4051343026116</v>
      </c>
      <c r="E416" t="s">
        <v>984</v>
      </c>
      <c r="F416" t="s">
        <v>60</v>
      </c>
      <c r="G416">
        <v>1</v>
      </c>
      <c r="H416" t="s">
        <v>18</v>
      </c>
      <c r="I416" t="s">
        <v>51</v>
      </c>
      <c r="J416" t="s">
        <v>52</v>
      </c>
      <c r="L416" t="s">
        <v>18</v>
      </c>
      <c r="M416" t="s">
        <v>985</v>
      </c>
    </row>
    <row r="417" spans="2:13" x14ac:dyDescent="0.25">
      <c r="B417" t="s">
        <v>983</v>
      </c>
      <c r="C417">
        <v>15354338</v>
      </c>
      <c r="D417" t="str">
        <f>"4011097432038"</f>
        <v>4011097432038</v>
      </c>
      <c r="E417" t="s">
        <v>986</v>
      </c>
      <c r="F417" t="s">
        <v>285</v>
      </c>
      <c r="G417">
        <v>1</v>
      </c>
      <c r="H417" t="s">
        <v>18</v>
      </c>
      <c r="I417" t="s">
        <v>16</v>
      </c>
      <c r="J417" t="s">
        <v>429</v>
      </c>
      <c r="L417" t="s">
        <v>18</v>
      </c>
      <c r="M417" t="s">
        <v>987</v>
      </c>
    </row>
    <row r="418" spans="2:13" x14ac:dyDescent="0.25">
      <c r="B418" t="s">
        <v>983</v>
      </c>
      <c r="C418">
        <v>15610514</v>
      </c>
      <c r="D418" t="str">
        <f>"8000177220104"</f>
        <v>8000177220104</v>
      </c>
      <c r="E418" t="s">
        <v>988</v>
      </c>
      <c r="F418" t="s">
        <v>48</v>
      </c>
      <c r="G418">
        <v>1</v>
      </c>
      <c r="H418" t="s">
        <v>18</v>
      </c>
      <c r="I418" t="s">
        <v>16</v>
      </c>
      <c r="J418" t="s">
        <v>989</v>
      </c>
      <c r="L418" t="s">
        <v>18</v>
      </c>
      <c r="M418" t="s">
        <v>990</v>
      </c>
    </row>
    <row r="419" spans="2:13" x14ac:dyDescent="0.25">
      <c r="B419" t="s">
        <v>983</v>
      </c>
      <c r="C419">
        <v>15610522</v>
      </c>
      <c r="D419" t="str">
        <f>"8000177220098"</f>
        <v>8000177220098</v>
      </c>
      <c r="E419" t="s">
        <v>991</v>
      </c>
      <c r="F419" t="s">
        <v>268</v>
      </c>
      <c r="G419">
        <v>1</v>
      </c>
      <c r="H419" t="s">
        <v>18</v>
      </c>
      <c r="I419" t="s">
        <v>16</v>
      </c>
      <c r="J419" t="s">
        <v>989</v>
      </c>
      <c r="L419" t="s">
        <v>18</v>
      </c>
      <c r="M419" t="s">
        <v>992</v>
      </c>
    </row>
    <row r="420" spans="2:13" x14ac:dyDescent="0.25">
      <c r="B420" t="s">
        <v>983</v>
      </c>
      <c r="C420">
        <v>15613791</v>
      </c>
      <c r="D420" t="str">
        <f>"3276200157500"</f>
        <v>3276200157500</v>
      </c>
      <c r="E420" t="s">
        <v>993</v>
      </c>
      <c r="F420" t="s">
        <v>425</v>
      </c>
      <c r="G420">
        <v>1</v>
      </c>
      <c r="H420" t="s">
        <v>18</v>
      </c>
      <c r="I420" t="s">
        <v>16</v>
      </c>
      <c r="J420" t="s">
        <v>17</v>
      </c>
      <c r="L420" t="s">
        <v>18</v>
      </c>
      <c r="M420" t="s">
        <v>862</v>
      </c>
    </row>
    <row r="421" spans="2:13" x14ac:dyDescent="0.25">
      <c r="B421" t="s">
        <v>983</v>
      </c>
      <c r="C421">
        <v>17194315</v>
      </c>
      <c r="D421" t="str">
        <f>"4005176343827"</f>
        <v>4005176343827</v>
      </c>
      <c r="E421" t="s">
        <v>994</v>
      </c>
      <c r="F421" t="s">
        <v>413</v>
      </c>
      <c r="G421">
        <v>1</v>
      </c>
      <c r="H421" t="s">
        <v>18</v>
      </c>
      <c r="I421" t="s">
        <v>51</v>
      </c>
      <c r="J421" t="s">
        <v>426</v>
      </c>
      <c r="L421" t="s">
        <v>18</v>
      </c>
      <c r="M421" t="s">
        <v>995</v>
      </c>
    </row>
    <row r="422" spans="2:13" x14ac:dyDescent="0.25">
      <c r="B422" t="s">
        <v>983</v>
      </c>
      <c r="C422">
        <v>18161291</v>
      </c>
      <c r="D422" t="str">
        <f>"4005176333859"</f>
        <v>4005176333859</v>
      </c>
      <c r="E422" t="s">
        <v>996</v>
      </c>
      <c r="F422" t="s">
        <v>242</v>
      </c>
      <c r="G422">
        <v>1</v>
      </c>
      <c r="H422" t="s">
        <v>18</v>
      </c>
      <c r="I422" t="s">
        <v>51</v>
      </c>
      <c r="J422" t="s">
        <v>426</v>
      </c>
      <c r="L422" t="s">
        <v>18</v>
      </c>
      <c r="M422" t="s">
        <v>997</v>
      </c>
    </row>
    <row r="423" spans="2:13" x14ac:dyDescent="0.25">
      <c r="B423" t="s">
        <v>998</v>
      </c>
      <c r="C423">
        <v>10835423</v>
      </c>
      <c r="D423" t="str">
        <f>"3800861045458"</f>
        <v>3800861045458</v>
      </c>
      <c r="E423" t="s">
        <v>999</v>
      </c>
      <c r="F423" t="s">
        <v>491</v>
      </c>
      <c r="G423">
        <v>1</v>
      </c>
      <c r="H423" t="s">
        <v>18</v>
      </c>
      <c r="I423" t="s">
        <v>16</v>
      </c>
      <c r="J423" t="s">
        <v>221</v>
      </c>
      <c r="L423" t="s">
        <v>18</v>
      </c>
      <c r="M423" t="s">
        <v>1000</v>
      </c>
    </row>
    <row r="424" spans="2:13" x14ac:dyDescent="0.25">
      <c r="B424" t="s">
        <v>998</v>
      </c>
      <c r="C424">
        <v>11701056</v>
      </c>
      <c r="D424" t="str">
        <f>"6914646226226"</f>
        <v>6914646226226</v>
      </c>
      <c r="E424" t="s">
        <v>1001</v>
      </c>
      <c r="F424" t="s">
        <v>759</v>
      </c>
      <c r="G424">
        <v>1</v>
      </c>
      <c r="H424" t="s">
        <v>18</v>
      </c>
      <c r="I424" t="s">
        <v>16</v>
      </c>
      <c r="J424" t="s">
        <v>360</v>
      </c>
      <c r="L424" t="s">
        <v>18</v>
      </c>
      <c r="M424" t="s">
        <v>1002</v>
      </c>
    </row>
    <row r="425" spans="2:13" x14ac:dyDescent="0.25">
      <c r="B425" t="s">
        <v>998</v>
      </c>
      <c r="C425">
        <v>13091984</v>
      </c>
      <c r="D425" t="str">
        <f>"4011097570174"</f>
        <v>4011097570174</v>
      </c>
      <c r="E425" t="s">
        <v>1003</v>
      </c>
      <c r="F425" t="s">
        <v>48</v>
      </c>
      <c r="G425">
        <v>1</v>
      </c>
      <c r="H425" t="s">
        <v>18</v>
      </c>
      <c r="I425" t="s">
        <v>16</v>
      </c>
      <c r="J425" t="s">
        <v>429</v>
      </c>
      <c r="L425" t="s">
        <v>18</v>
      </c>
      <c r="M425" t="s">
        <v>1004</v>
      </c>
    </row>
    <row r="426" spans="2:13" x14ac:dyDescent="0.25">
      <c r="B426" t="s">
        <v>998</v>
      </c>
      <c r="C426">
        <v>13455872</v>
      </c>
      <c r="D426" t="str">
        <f>"6914646307123"</f>
        <v>6914646307123</v>
      </c>
      <c r="E426" t="s">
        <v>1005</v>
      </c>
      <c r="F426" t="s">
        <v>838</v>
      </c>
      <c r="G426">
        <v>1</v>
      </c>
      <c r="H426" t="s">
        <v>18</v>
      </c>
      <c r="I426" t="s">
        <v>16</v>
      </c>
      <c r="J426" t="s">
        <v>360</v>
      </c>
      <c r="L426" t="s">
        <v>18</v>
      </c>
      <c r="M426" t="s">
        <v>836</v>
      </c>
    </row>
    <row r="427" spans="2:13" x14ac:dyDescent="0.25">
      <c r="B427" t="s">
        <v>998</v>
      </c>
      <c r="C427">
        <v>14851295</v>
      </c>
      <c r="D427" t="str">
        <f>"4607814941084"</f>
        <v>4607814941084</v>
      </c>
      <c r="E427" t="s">
        <v>1006</v>
      </c>
      <c r="F427" t="s">
        <v>442</v>
      </c>
      <c r="G427">
        <v>1</v>
      </c>
      <c r="H427" t="s">
        <v>18</v>
      </c>
      <c r="I427" t="s">
        <v>51</v>
      </c>
      <c r="J427" t="s">
        <v>1007</v>
      </c>
      <c r="L427" t="s">
        <v>18</v>
      </c>
      <c r="M427" t="s">
        <v>1008</v>
      </c>
    </row>
    <row r="428" spans="2:13" x14ac:dyDescent="0.25">
      <c r="B428" t="s">
        <v>998</v>
      </c>
      <c r="C428">
        <v>18224918</v>
      </c>
      <c r="D428" t="str">
        <f>"4627091397183"</f>
        <v>4627091397183</v>
      </c>
      <c r="E428" t="s">
        <v>1009</v>
      </c>
      <c r="F428" t="s">
        <v>27</v>
      </c>
      <c r="G428">
        <v>1</v>
      </c>
      <c r="H428" t="s">
        <v>18</v>
      </c>
      <c r="I428" t="s">
        <v>16</v>
      </c>
      <c r="J428" t="s">
        <v>854</v>
      </c>
      <c r="L428" t="s">
        <v>18</v>
      </c>
      <c r="M428" t="s">
        <v>280</v>
      </c>
    </row>
    <row r="429" spans="2:13" x14ac:dyDescent="0.25">
      <c r="B429" t="s">
        <v>1010</v>
      </c>
      <c r="C429">
        <v>13455063</v>
      </c>
      <c r="D429" t="str">
        <f>"4610006683945"</f>
        <v>4610006683945</v>
      </c>
      <c r="E429" t="s">
        <v>1011</v>
      </c>
      <c r="F429" t="s">
        <v>1012</v>
      </c>
      <c r="G429">
        <v>1</v>
      </c>
      <c r="H429" t="s">
        <v>18</v>
      </c>
      <c r="I429" t="s">
        <v>16</v>
      </c>
      <c r="J429" t="s">
        <v>748</v>
      </c>
      <c r="L429" t="s">
        <v>18</v>
      </c>
      <c r="M429" t="s">
        <v>1013</v>
      </c>
    </row>
    <row r="430" spans="2:13" x14ac:dyDescent="0.25">
      <c r="B430" t="s">
        <v>1010</v>
      </c>
      <c r="C430">
        <v>13455186</v>
      </c>
      <c r="D430" t="str">
        <f>"4610006683969"</f>
        <v>4610006683969</v>
      </c>
      <c r="E430" t="s">
        <v>1014</v>
      </c>
      <c r="F430" t="s">
        <v>1015</v>
      </c>
      <c r="G430">
        <v>1</v>
      </c>
      <c r="H430" t="s">
        <v>18</v>
      </c>
      <c r="I430" t="s">
        <v>16</v>
      </c>
      <c r="J430" t="s">
        <v>748</v>
      </c>
      <c r="L430" t="s">
        <v>18</v>
      </c>
      <c r="M430" t="s">
        <v>1016</v>
      </c>
    </row>
    <row r="431" spans="2:13" x14ac:dyDescent="0.25">
      <c r="B431" t="s">
        <v>1010</v>
      </c>
      <c r="C431">
        <v>13738469</v>
      </c>
      <c r="D431" t="str">
        <f>"6931234571162"</f>
        <v>6931234571162</v>
      </c>
      <c r="E431" t="s">
        <v>1017</v>
      </c>
      <c r="F431" t="s">
        <v>285</v>
      </c>
      <c r="G431">
        <v>1</v>
      </c>
      <c r="H431" t="s">
        <v>18</v>
      </c>
      <c r="I431" t="s">
        <v>16</v>
      </c>
      <c r="J431" t="s">
        <v>239</v>
      </c>
      <c r="L431" t="s">
        <v>18</v>
      </c>
      <c r="M431" t="s">
        <v>1018</v>
      </c>
    </row>
    <row r="432" spans="2:13" x14ac:dyDescent="0.25">
      <c r="B432" t="s">
        <v>1010</v>
      </c>
      <c r="C432">
        <v>15554305</v>
      </c>
      <c r="D432" t="str">
        <f>"4627091393109"</f>
        <v>4627091393109</v>
      </c>
      <c r="E432" t="s">
        <v>1019</v>
      </c>
      <c r="F432" t="s">
        <v>1020</v>
      </c>
      <c r="G432">
        <v>1</v>
      </c>
      <c r="H432" t="s">
        <v>18</v>
      </c>
      <c r="I432" t="s">
        <v>51</v>
      </c>
      <c r="J432" t="s">
        <v>854</v>
      </c>
      <c r="L432" t="s">
        <v>18</v>
      </c>
      <c r="M432" t="s">
        <v>751</v>
      </c>
    </row>
    <row r="433" spans="2:13" x14ac:dyDescent="0.25">
      <c r="B433" t="s">
        <v>1010</v>
      </c>
      <c r="C433">
        <v>18217929</v>
      </c>
      <c r="D433" t="str">
        <f>"4011097113258"</f>
        <v>4011097113258</v>
      </c>
      <c r="E433" t="s">
        <v>1021</v>
      </c>
      <c r="F433" t="s">
        <v>34</v>
      </c>
      <c r="G433">
        <v>1</v>
      </c>
      <c r="H433" t="s">
        <v>18</v>
      </c>
      <c r="I433" t="s">
        <v>51</v>
      </c>
      <c r="J433" t="s">
        <v>429</v>
      </c>
      <c r="L433" t="s">
        <v>18</v>
      </c>
      <c r="M433" t="s">
        <v>1022</v>
      </c>
    </row>
    <row r="434" spans="2:13" x14ac:dyDescent="0.25">
      <c r="B434" t="s">
        <v>1023</v>
      </c>
      <c r="C434">
        <v>13001870</v>
      </c>
      <c r="D434" t="str">
        <f>"6914646745192"</f>
        <v>6914646745192</v>
      </c>
      <c r="E434" t="s">
        <v>1024</v>
      </c>
      <c r="F434" t="s">
        <v>1025</v>
      </c>
      <c r="G434">
        <v>1</v>
      </c>
      <c r="H434" t="s">
        <v>18</v>
      </c>
      <c r="I434" t="s">
        <v>16</v>
      </c>
      <c r="J434" t="s">
        <v>360</v>
      </c>
      <c r="L434" t="s">
        <v>18</v>
      </c>
      <c r="M434" t="s">
        <v>1026</v>
      </c>
    </row>
    <row r="435" spans="2:13" x14ac:dyDescent="0.25">
      <c r="B435" t="s">
        <v>1023</v>
      </c>
      <c r="C435">
        <v>13417489</v>
      </c>
      <c r="D435" t="str">
        <f>"3276004207425"</f>
        <v>3276004207425</v>
      </c>
      <c r="E435" t="s">
        <v>1027</v>
      </c>
      <c r="F435" t="s">
        <v>48</v>
      </c>
      <c r="G435">
        <v>1</v>
      </c>
      <c r="H435" t="s">
        <v>18</v>
      </c>
      <c r="I435" t="s">
        <v>16</v>
      </c>
      <c r="J435" t="s">
        <v>17</v>
      </c>
      <c r="L435" t="s">
        <v>18</v>
      </c>
      <c r="M435" t="s">
        <v>1028</v>
      </c>
    </row>
    <row r="436" spans="2:13" x14ac:dyDescent="0.25">
      <c r="B436" t="s">
        <v>1023</v>
      </c>
      <c r="C436">
        <v>14409721</v>
      </c>
      <c r="D436" t="str">
        <f>"5708516980360"</f>
        <v>5708516980360</v>
      </c>
      <c r="E436" t="s">
        <v>1029</v>
      </c>
      <c r="F436" t="s">
        <v>174</v>
      </c>
      <c r="G436">
        <v>1</v>
      </c>
      <c r="H436" t="s">
        <v>18</v>
      </c>
      <c r="I436" t="s">
        <v>51</v>
      </c>
      <c r="J436" t="s">
        <v>826</v>
      </c>
      <c r="L436" t="s">
        <v>18</v>
      </c>
      <c r="M436" t="s">
        <v>1030</v>
      </c>
    </row>
    <row r="437" spans="2:13" x14ac:dyDescent="0.25">
      <c r="B437" t="s">
        <v>1023</v>
      </c>
      <c r="C437">
        <v>15398293</v>
      </c>
      <c r="D437" t="str">
        <f>"4627091392720"</f>
        <v>4627091392720</v>
      </c>
      <c r="E437" t="s">
        <v>1031</v>
      </c>
      <c r="F437" t="s">
        <v>406</v>
      </c>
      <c r="G437">
        <v>1</v>
      </c>
      <c r="H437" t="s">
        <v>18</v>
      </c>
      <c r="I437" t="s">
        <v>16</v>
      </c>
      <c r="J437" t="s">
        <v>854</v>
      </c>
      <c r="L437" t="s">
        <v>18</v>
      </c>
      <c r="M437" t="s">
        <v>1032</v>
      </c>
    </row>
    <row r="438" spans="2:13" x14ac:dyDescent="0.25">
      <c r="B438" t="s">
        <v>1023</v>
      </c>
      <c r="C438">
        <v>15792371</v>
      </c>
      <c r="D438" t="str">
        <f>"4607814941169"</f>
        <v>4607814941169</v>
      </c>
      <c r="E438" t="s">
        <v>1033</v>
      </c>
      <c r="F438" t="s">
        <v>191</v>
      </c>
      <c r="G438">
        <v>1</v>
      </c>
      <c r="H438" t="s">
        <v>18</v>
      </c>
      <c r="I438" t="s">
        <v>16</v>
      </c>
      <c r="J438" t="s">
        <v>1007</v>
      </c>
      <c r="L438" t="s">
        <v>18</v>
      </c>
      <c r="M438" t="s">
        <v>1034</v>
      </c>
    </row>
    <row r="439" spans="2:13" x14ac:dyDescent="0.25">
      <c r="B439" t="s">
        <v>1023</v>
      </c>
      <c r="C439">
        <v>17981351</v>
      </c>
      <c r="D439" t="str">
        <f>"3276005174238"</f>
        <v>3276005174238</v>
      </c>
      <c r="E439" t="s">
        <v>1035</v>
      </c>
      <c r="F439" t="s">
        <v>840</v>
      </c>
      <c r="G439">
        <v>1</v>
      </c>
      <c r="H439" t="s">
        <v>18</v>
      </c>
      <c r="I439" t="s">
        <v>16</v>
      </c>
      <c r="J439" t="s">
        <v>17</v>
      </c>
      <c r="L439" t="s">
        <v>18</v>
      </c>
      <c r="M439" t="s">
        <v>1036</v>
      </c>
    </row>
    <row r="440" spans="2:13" x14ac:dyDescent="0.25">
      <c r="B440" t="s">
        <v>1023</v>
      </c>
      <c r="C440">
        <v>18224897</v>
      </c>
      <c r="D440" t="str">
        <f>"4627112610994"</f>
        <v>4627112610994</v>
      </c>
      <c r="E440" t="s">
        <v>1037</v>
      </c>
      <c r="F440" t="s">
        <v>43</v>
      </c>
      <c r="G440">
        <v>1</v>
      </c>
      <c r="H440" t="s">
        <v>18</v>
      </c>
      <c r="I440" t="s">
        <v>16</v>
      </c>
      <c r="J440" t="s">
        <v>892</v>
      </c>
      <c r="L440" t="s">
        <v>18</v>
      </c>
      <c r="M440" t="s">
        <v>1038</v>
      </c>
    </row>
    <row r="441" spans="2:13" x14ac:dyDescent="0.25">
      <c r="B441" t="s">
        <v>1039</v>
      </c>
      <c r="C441">
        <v>13417665</v>
      </c>
      <c r="D441" t="str">
        <f>"3276004207487"</f>
        <v>3276004207487</v>
      </c>
      <c r="E441" t="s">
        <v>1040</v>
      </c>
      <c r="F441" t="s">
        <v>227</v>
      </c>
      <c r="G441">
        <v>1</v>
      </c>
      <c r="H441" t="s">
        <v>18</v>
      </c>
      <c r="I441" t="s">
        <v>16</v>
      </c>
      <c r="J441" t="s">
        <v>17</v>
      </c>
      <c r="L441" t="s">
        <v>18</v>
      </c>
      <c r="M441" t="s">
        <v>1041</v>
      </c>
    </row>
    <row r="442" spans="2:13" x14ac:dyDescent="0.25">
      <c r="B442" t="s">
        <v>1039</v>
      </c>
      <c r="C442">
        <v>15487296</v>
      </c>
      <c r="D442" t="str">
        <f>"3276005171589"</f>
        <v>3276005171589</v>
      </c>
      <c r="E442" t="s">
        <v>1042</v>
      </c>
      <c r="F442" t="s">
        <v>43</v>
      </c>
      <c r="G442">
        <v>1</v>
      </c>
      <c r="H442" t="s">
        <v>18</v>
      </c>
      <c r="I442" t="s">
        <v>16</v>
      </c>
      <c r="J442" t="s">
        <v>17</v>
      </c>
      <c r="L442" t="s">
        <v>18</v>
      </c>
      <c r="M442" t="s">
        <v>1043</v>
      </c>
    </row>
    <row r="443" spans="2:13" x14ac:dyDescent="0.25">
      <c r="B443" t="s">
        <v>1039</v>
      </c>
      <c r="C443">
        <v>15549514</v>
      </c>
      <c r="D443" t="str">
        <f>"4627091393093"</f>
        <v>4627091393093</v>
      </c>
      <c r="E443" t="s">
        <v>1044</v>
      </c>
      <c r="F443" t="s">
        <v>1045</v>
      </c>
      <c r="G443">
        <v>1</v>
      </c>
      <c r="H443" t="s">
        <v>18</v>
      </c>
      <c r="I443" t="s">
        <v>16</v>
      </c>
      <c r="J443" t="s">
        <v>854</v>
      </c>
      <c r="L443" t="s">
        <v>18</v>
      </c>
      <c r="M443" t="s">
        <v>856</v>
      </c>
    </row>
    <row r="444" spans="2:13" x14ac:dyDescent="0.25">
      <c r="B444" t="s">
        <v>1039</v>
      </c>
      <c r="C444">
        <v>16768330</v>
      </c>
      <c r="D444" t="str">
        <f>"4260383671488"</f>
        <v>4260383671488</v>
      </c>
      <c r="E444" t="s">
        <v>1046</v>
      </c>
      <c r="F444" t="s">
        <v>43</v>
      </c>
      <c r="G444">
        <v>1</v>
      </c>
      <c r="H444" t="s">
        <v>18</v>
      </c>
      <c r="I444" t="s">
        <v>16</v>
      </c>
      <c r="J444" t="s">
        <v>1047</v>
      </c>
      <c r="L444" t="s">
        <v>18</v>
      </c>
      <c r="M444" t="s">
        <v>1048</v>
      </c>
    </row>
    <row r="445" spans="2:13" x14ac:dyDescent="0.25">
      <c r="B445" t="s">
        <v>1039</v>
      </c>
      <c r="C445">
        <v>17768489</v>
      </c>
      <c r="D445" t="str">
        <f>"4627112610567"</f>
        <v>4627112610567</v>
      </c>
      <c r="E445" t="s">
        <v>1049</v>
      </c>
      <c r="F445" t="s">
        <v>366</v>
      </c>
      <c r="G445">
        <v>1</v>
      </c>
      <c r="H445" t="s">
        <v>18</v>
      </c>
      <c r="I445" t="s">
        <v>16</v>
      </c>
      <c r="J445" t="s">
        <v>892</v>
      </c>
      <c r="L445" t="s">
        <v>18</v>
      </c>
      <c r="M445" t="s">
        <v>1050</v>
      </c>
    </row>
    <row r="446" spans="2:13" x14ac:dyDescent="0.25">
      <c r="B446" t="s">
        <v>1051</v>
      </c>
      <c r="C446">
        <v>13456533</v>
      </c>
      <c r="D446" t="str">
        <f>"6931234570820"</f>
        <v>6931234570820</v>
      </c>
      <c r="E446" t="s">
        <v>1052</v>
      </c>
      <c r="F446" t="s">
        <v>14</v>
      </c>
      <c r="G446">
        <v>1</v>
      </c>
      <c r="H446" t="s">
        <v>18</v>
      </c>
      <c r="I446" t="s">
        <v>16</v>
      </c>
      <c r="J446" t="s">
        <v>239</v>
      </c>
      <c r="L446" t="s">
        <v>18</v>
      </c>
      <c r="M446" t="s">
        <v>1053</v>
      </c>
    </row>
    <row r="447" spans="2:13" x14ac:dyDescent="0.25">
      <c r="B447" t="s">
        <v>1054</v>
      </c>
      <c r="C447">
        <v>13456541</v>
      </c>
      <c r="D447" t="str">
        <f>"6931234570837"</f>
        <v>6931234570837</v>
      </c>
      <c r="E447" t="s">
        <v>1055</v>
      </c>
      <c r="F447" t="s">
        <v>48</v>
      </c>
      <c r="G447">
        <v>1</v>
      </c>
      <c r="H447" t="s">
        <v>18</v>
      </c>
      <c r="I447" t="s">
        <v>16</v>
      </c>
      <c r="J447" t="s">
        <v>239</v>
      </c>
      <c r="L447" t="s">
        <v>18</v>
      </c>
      <c r="M447" t="s">
        <v>1056</v>
      </c>
    </row>
    <row r="448" spans="2:13" x14ac:dyDescent="0.25">
      <c r="B448" t="s">
        <v>1057</v>
      </c>
      <c r="C448">
        <v>13118817</v>
      </c>
      <c r="D448" t="str">
        <f>"4640026260017"</f>
        <v>4640026260017</v>
      </c>
      <c r="E448" t="s">
        <v>1058</v>
      </c>
      <c r="F448" t="s">
        <v>191</v>
      </c>
      <c r="G448">
        <v>1</v>
      </c>
      <c r="H448" t="s">
        <v>18</v>
      </c>
      <c r="I448" t="s">
        <v>16</v>
      </c>
      <c r="J448" t="s">
        <v>239</v>
      </c>
      <c r="L448" t="s">
        <v>18</v>
      </c>
      <c r="M448" t="s">
        <v>1059</v>
      </c>
    </row>
    <row r="449" spans="2:13" x14ac:dyDescent="0.25">
      <c r="B449" t="s">
        <v>1057</v>
      </c>
      <c r="C449">
        <v>13456496</v>
      </c>
      <c r="D449" t="str">
        <f>"6931234570875"</f>
        <v>6931234570875</v>
      </c>
      <c r="E449" t="s">
        <v>1060</v>
      </c>
      <c r="F449" t="s">
        <v>27</v>
      </c>
      <c r="G449">
        <v>1</v>
      </c>
      <c r="H449" t="s">
        <v>18</v>
      </c>
      <c r="I449" t="s">
        <v>16</v>
      </c>
      <c r="J449" t="s">
        <v>239</v>
      </c>
      <c r="L449" t="s">
        <v>18</v>
      </c>
      <c r="M449" t="s">
        <v>1061</v>
      </c>
    </row>
    <row r="450" spans="2:13" x14ac:dyDescent="0.25">
      <c r="B450" t="s">
        <v>1057</v>
      </c>
      <c r="C450">
        <v>13456509</v>
      </c>
      <c r="D450" t="str">
        <f>"6931234570882"</f>
        <v>6931234570882</v>
      </c>
      <c r="E450" t="s">
        <v>1062</v>
      </c>
      <c r="F450" t="s">
        <v>31</v>
      </c>
      <c r="G450">
        <v>1</v>
      </c>
      <c r="H450" t="s">
        <v>18</v>
      </c>
      <c r="I450" t="s">
        <v>16</v>
      </c>
      <c r="J450" t="s">
        <v>239</v>
      </c>
      <c r="L450" t="s">
        <v>18</v>
      </c>
      <c r="M450" t="s">
        <v>367</v>
      </c>
    </row>
    <row r="451" spans="2:13" x14ac:dyDescent="0.25">
      <c r="B451" t="s">
        <v>1057</v>
      </c>
      <c r="C451">
        <v>13456517</v>
      </c>
      <c r="D451" t="str">
        <f>"6931234570899"</f>
        <v>6931234570899</v>
      </c>
      <c r="E451" t="s">
        <v>1063</v>
      </c>
      <c r="F451" t="s">
        <v>27</v>
      </c>
      <c r="G451">
        <v>1</v>
      </c>
      <c r="H451" t="s">
        <v>18</v>
      </c>
      <c r="I451" t="s">
        <v>16</v>
      </c>
      <c r="J451" t="s">
        <v>239</v>
      </c>
      <c r="L451" t="s">
        <v>18</v>
      </c>
      <c r="M451" t="s">
        <v>1064</v>
      </c>
    </row>
    <row r="452" spans="2:13" x14ac:dyDescent="0.25">
      <c r="B452" t="s">
        <v>1065</v>
      </c>
      <c r="C452">
        <v>14192891</v>
      </c>
      <c r="D452" t="str">
        <f>"6931234572008"</f>
        <v>6931234572008</v>
      </c>
      <c r="E452" t="s">
        <v>1066</v>
      </c>
      <c r="F452" t="s">
        <v>48</v>
      </c>
      <c r="G452">
        <v>1</v>
      </c>
      <c r="H452" t="s">
        <v>18</v>
      </c>
      <c r="I452" t="s">
        <v>16</v>
      </c>
      <c r="J452" t="s">
        <v>239</v>
      </c>
      <c r="L452" t="s">
        <v>18</v>
      </c>
      <c r="M452" t="s">
        <v>1067</v>
      </c>
    </row>
    <row r="453" spans="2:13" x14ac:dyDescent="0.25">
      <c r="B453" t="s">
        <v>1065</v>
      </c>
      <c r="C453">
        <v>14192904</v>
      </c>
      <c r="D453" t="str">
        <f>"6931234571995"</f>
        <v>6931234571995</v>
      </c>
      <c r="E453" t="s">
        <v>1068</v>
      </c>
      <c r="F453" t="s">
        <v>48</v>
      </c>
      <c r="G453">
        <v>1</v>
      </c>
      <c r="H453" t="s">
        <v>18</v>
      </c>
      <c r="I453" t="s">
        <v>16</v>
      </c>
      <c r="J453" t="s">
        <v>239</v>
      </c>
      <c r="L453" t="s">
        <v>18</v>
      </c>
      <c r="M453" t="s">
        <v>1069</v>
      </c>
    </row>
    <row r="454" spans="2:13" x14ac:dyDescent="0.25">
      <c r="B454" t="s">
        <v>1070</v>
      </c>
      <c r="C454">
        <v>13047959</v>
      </c>
      <c r="D454" t="str">
        <f>"3276200352646"</f>
        <v>3276200352646</v>
      </c>
      <c r="E454" t="s">
        <v>1071</v>
      </c>
      <c r="F454" t="s">
        <v>379</v>
      </c>
      <c r="G454">
        <v>1</v>
      </c>
      <c r="H454" t="s">
        <v>18</v>
      </c>
      <c r="I454" t="s">
        <v>16</v>
      </c>
      <c r="J454" t="s">
        <v>17</v>
      </c>
      <c r="L454" t="s">
        <v>18</v>
      </c>
      <c r="M454" t="s">
        <v>1072</v>
      </c>
    </row>
    <row r="455" spans="2:13" x14ac:dyDescent="0.25">
      <c r="B455" t="s">
        <v>1070</v>
      </c>
      <c r="C455">
        <v>13103025</v>
      </c>
      <c r="D455" t="str">
        <f>"4670004659274"</f>
        <v>4670004659274</v>
      </c>
      <c r="E455" t="s">
        <v>1073</v>
      </c>
      <c r="F455" t="s">
        <v>170</v>
      </c>
      <c r="G455">
        <v>1</v>
      </c>
      <c r="H455" t="s">
        <v>18</v>
      </c>
      <c r="I455" t="s">
        <v>16</v>
      </c>
      <c r="J455" t="s">
        <v>1074</v>
      </c>
      <c r="L455" t="s">
        <v>18</v>
      </c>
      <c r="M455" t="s">
        <v>1075</v>
      </c>
    </row>
    <row r="456" spans="2:13" x14ac:dyDescent="0.25">
      <c r="B456" t="s">
        <v>1070</v>
      </c>
      <c r="C456">
        <v>17405371</v>
      </c>
      <c r="D456" t="str">
        <f>"3800861051725"</f>
        <v>3800861051725</v>
      </c>
      <c r="E456" t="s">
        <v>1076</v>
      </c>
      <c r="F456" t="s">
        <v>43</v>
      </c>
      <c r="G456">
        <v>1</v>
      </c>
      <c r="H456" t="s">
        <v>18</v>
      </c>
      <c r="I456" t="s">
        <v>16</v>
      </c>
      <c r="J456" t="s">
        <v>221</v>
      </c>
      <c r="L456" t="s">
        <v>18</v>
      </c>
      <c r="M456" t="s">
        <v>1077</v>
      </c>
    </row>
    <row r="457" spans="2:13" x14ac:dyDescent="0.25">
      <c r="B457" t="s">
        <v>1070</v>
      </c>
      <c r="C457">
        <v>18414674</v>
      </c>
      <c r="D457" t="str">
        <f>"3800861054443"</f>
        <v>3800861054443</v>
      </c>
      <c r="E457" t="s">
        <v>1078</v>
      </c>
      <c r="F457" t="s">
        <v>948</v>
      </c>
      <c r="G457">
        <v>0</v>
      </c>
      <c r="H457" t="s">
        <v>18</v>
      </c>
      <c r="I457" t="s">
        <v>680</v>
      </c>
      <c r="J457" t="s">
        <v>221</v>
      </c>
      <c r="L457" t="s">
        <v>18</v>
      </c>
      <c r="M457" t="s">
        <v>1079</v>
      </c>
    </row>
    <row r="458" spans="2:13" x14ac:dyDescent="0.25">
      <c r="B458" t="s">
        <v>1080</v>
      </c>
      <c r="C458">
        <v>13047967</v>
      </c>
      <c r="D458" t="str">
        <f>"3276200352707"</f>
        <v>3276200352707</v>
      </c>
      <c r="E458" t="s">
        <v>1081</v>
      </c>
      <c r="F458" t="s">
        <v>40</v>
      </c>
      <c r="G458">
        <v>1</v>
      </c>
      <c r="H458" t="s">
        <v>18</v>
      </c>
      <c r="I458" t="s">
        <v>16</v>
      </c>
      <c r="J458" t="s">
        <v>17</v>
      </c>
      <c r="L458" t="s">
        <v>18</v>
      </c>
      <c r="M458" t="s">
        <v>404</v>
      </c>
    </row>
    <row r="459" spans="2:13" x14ac:dyDescent="0.25">
      <c r="B459" t="s">
        <v>1080</v>
      </c>
      <c r="C459">
        <v>13103017</v>
      </c>
      <c r="D459" t="str">
        <f>"4670004659250"</f>
        <v>4670004659250</v>
      </c>
      <c r="E459" t="s">
        <v>1082</v>
      </c>
      <c r="F459" t="s">
        <v>242</v>
      </c>
      <c r="G459">
        <v>1</v>
      </c>
      <c r="H459" t="s">
        <v>18</v>
      </c>
      <c r="I459" t="s">
        <v>16</v>
      </c>
      <c r="J459" t="s">
        <v>1074</v>
      </c>
      <c r="L459" t="s">
        <v>18</v>
      </c>
      <c r="M459" t="s">
        <v>1083</v>
      </c>
    </row>
    <row r="460" spans="2:13" x14ac:dyDescent="0.25">
      <c r="B460" t="s">
        <v>1080</v>
      </c>
      <c r="C460">
        <v>14251038</v>
      </c>
      <c r="D460" t="str">
        <f>"3276004827166"</f>
        <v>3276004827166</v>
      </c>
      <c r="E460" t="s">
        <v>1084</v>
      </c>
      <c r="F460" t="s">
        <v>48</v>
      </c>
      <c r="G460">
        <v>1</v>
      </c>
      <c r="H460" t="s">
        <v>18</v>
      </c>
      <c r="I460" t="s">
        <v>16</v>
      </c>
      <c r="J460" t="s">
        <v>17</v>
      </c>
      <c r="L460" t="s">
        <v>18</v>
      </c>
      <c r="M460" t="s">
        <v>1085</v>
      </c>
    </row>
    <row r="461" spans="2:13" x14ac:dyDescent="0.25">
      <c r="B461" t="s">
        <v>1080</v>
      </c>
      <c r="C461">
        <v>17381655</v>
      </c>
      <c r="D461" t="str">
        <f>"4607814940100"</f>
        <v>4607814940100</v>
      </c>
      <c r="E461" t="s">
        <v>1086</v>
      </c>
      <c r="F461" t="s">
        <v>1087</v>
      </c>
      <c r="G461">
        <v>1</v>
      </c>
      <c r="H461" t="s">
        <v>18</v>
      </c>
      <c r="I461" t="s">
        <v>16</v>
      </c>
      <c r="J461" t="s">
        <v>1007</v>
      </c>
      <c r="L461" t="s">
        <v>18</v>
      </c>
      <c r="M461" t="s">
        <v>1088</v>
      </c>
    </row>
    <row r="462" spans="2:13" x14ac:dyDescent="0.25">
      <c r="B462" t="s">
        <v>1080</v>
      </c>
      <c r="C462">
        <v>17405389</v>
      </c>
      <c r="D462" t="str">
        <f>"3800861051732"</f>
        <v>3800861051732</v>
      </c>
      <c r="E462" t="s">
        <v>1089</v>
      </c>
      <c r="F462" t="s">
        <v>227</v>
      </c>
      <c r="G462">
        <v>1</v>
      </c>
      <c r="H462" t="s">
        <v>18</v>
      </c>
      <c r="I462" t="s">
        <v>16</v>
      </c>
      <c r="J462" t="s">
        <v>221</v>
      </c>
      <c r="L462" t="s">
        <v>18</v>
      </c>
      <c r="M462" t="s">
        <v>902</v>
      </c>
    </row>
    <row r="463" spans="2:13" x14ac:dyDescent="0.25">
      <c r="B463" t="s">
        <v>1090</v>
      </c>
      <c r="C463">
        <v>13048011</v>
      </c>
      <c r="D463" t="str">
        <f>"3276200352738"</f>
        <v>3276200352738</v>
      </c>
      <c r="E463" t="s">
        <v>1091</v>
      </c>
      <c r="F463" t="s">
        <v>48</v>
      </c>
      <c r="G463">
        <v>1</v>
      </c>
      <c r="H463" t="s">
        <v>18</v>
      </c>
      <c r="I463" t="s">
        <v>16</v>
      </c>
      <c r="J463" t="s">
        <v>17</v>
      </c>
      <c r="L463" t="s">
        <v>18</v>
      </c>
      <c r="M463" t="s">
        <v>1092</v>
      </c>
    </row>
    <row r="464" spans="2:13" x14ac:dyDescent="0.25">
      <c r="B464" t="s">
        <v>1090</v>
      </c>
      <c r="C464">
        <v>13103033</v>
      </c>
      <c r="D464" t="str">
        <f>"4670004659267"</f>
        <v>4670004659267</v>
      </c>
      <c r="E464" t="s">
        <v>1093</v>
      </c>
      <c r="F464" t="s">
        <v>14</v>
      </c>
      <c r="G464">
        <v>1</v>
      </c>
      <c r="H464" t="s">
        <v>18</v>
      </c>
      <c r="I464" t="s">
        <v>16</v>
      </c>
      <c r="J464" t="s">
        <v>1074</v>
      </c>
      <c r="L464" t="s">
        <v>18</v>
      </c>
      <c r="M464" t="s">
        <v>1094</v>
      </c>
    </row>
    <row r="465" spans="2:13" x14ac:dyDescent="0.25">
      <c r="B465" t="s">
        <v>1090</v>
      </c>
      <c r="C465">
        <v>17381680</v>
      </c>
      <c r="D465" t="str">
        <f>"4607814940124"</f>
        <v>4607814940124</v>
      </c>
      <c r="E465" t="s">
        <v>1095</v>
      </c>
      <c r="F465" t="s">
        <v>240</v>
      </c>
      <c r="G465">
        <v>1</v>
      </c>
      <c r="H465" t="s">
        <v>18</v>
      </c>
      <c r="I465" t="s">
        <v>16</v>
      </c>
      <c r="J465" t="s">
        <v>1007</v>
      </c>
      <c r="L465" t="s">
        <v>18</v>
      </c>
      <c r="M465" t="s">
        <v>1096</v>
      </c>
    </row>
    <row r="466" spans="2:13" x14ac:dyDescent="0.25">
      <c r="B466" t="s">
        <v>1097</v>
      </c>
      <c r="C466">
        <v>13048118</v>
      </c>
      <c r="D466" t="str">
        <f>"3276200352790"</f>
        <v>3276200352790</v>
      </c>
      <c r="E466" t="s">
        <v>1098</v>
      </c>
      <c r="F466" t="s">
        <v>242</v>
      </c>
      <c r="G466">
        <v>1</v>
      </c>
      <c r="H466" t="s">
        <v>18</v>
      </c>
      <c r="I466" t="s">
        <v>16</v>
      </c>
      <c r="J466" t="s">
        <v>17</v>
      </c>
      <c r="L466" t="s">
        <v>18</v>
      </c>
      <c r="M466" t="s">
        <v>1099</v>
      </c>
    </row>
    <row r="467" spans="2:13" x14ac:dyDescent="0.25">
      <c r="B467" t="s">
        <v>1097</v>
      </c>
      <c r="C467">
        <v>13048214</v>
      </c>
      <c r="D467" t="str">
        <f>"3276200352943"</f>
        <v>3276200352943</v>
      </c>
      <c r="E467" t="s">
        <v>1100</v>
      </c>
      <c r="F467" t="s">
        <v>379</v>
      </c>
      <c r="G467">
        <v>1</v>
      </c>
      <c r="H467" t="s">
        <v>18</v>
      </c>
      <c r="I467" t="s">
        <v>16</v>
      </c>
      <c r="J467" t="s">
        <v>17</v>
      </c>
      <c r="L467" t="s">
        <v>18</v>
      </c>
      <c r="M467" t="s">
        <v>1101</v>
      </c>
    </row>
    <row r="468" spans="2:13" x14ac:dyDescent="0.25">
      <c r="B468" t="s">
        <v>1102</v>
      </c>
      <c r="C468">
        <v>13048177</v>
      </c>
      <c r="D468" t="str">
        <f>"3276200352851"</f>
        <v>3276200352851</v>
      </c>
      <c r="E468" t="s">
        <v>1103</v>
      </c>
      <c r="F468" t="s">
        <v>285</v>
      </c>
      <c r="G468">
        <v>0</v>
      </c>
      <c r="H468" t="s">
        <v>18</v>
      </c>
      <c r="I468" t="s">
        <v>16</v>
      </c>
      <c r="J468" t="s">
        <v>17</v>
      </c>
      <c r="L468" t="s">
        <v>18</v>
      </c>
      <c r="M468" t="s">
        <v>1104</v>
      </c>
    </row>
    <row r="469" spans="2:13" x14ac:dyDescent="0.25">
      <c r="B469" t="s">
        <v>1102</v>
      </c>
      <c r="C469">
        <v>13048222</v>
      </c>
      <c r="D469" t="str">
        <f>"3276200353001"</f>
        <v>3276200353001</v>
      </c>
      <c r="E469" t="s">
        <v>1105</v>
      </c>
      <c r="F469" t="s">
        <v>277</v>
      </c>
      <c r="G469">
        <v>1</v>
      </c>
      <c r="H469" t="s">
        <v>18</v>
      </c>
      <c r="I469" t="s">
        <v>16</v>
      </c>
      <c r="J469" t="s">
        <v>17</v>
      </c>
      <c r="L469" t="s">
        <v>18</v>
      </c>
      <c r="M469" t="s">
        <v>1106</v>
      </c>
    </row>
    <row r="470" spans="2:13" x14ac:dyDescent="0.25">
      <c r="B470" t="s">
        <v>1102</v>
      </c>
      <c r="C470">
        <v>13048396</v>
      </c>
      <c r="D470" t="str">
        <f>"3276200353810"</f>
        <v>3276200353810</v>
      </c>
      <c r="E470" t="s">
        <v>1107</v>
      </c>
      <c r="F470" t="s">
        <v>285</v>
      </c>
      <c r="G470">
        <v>1</v>
      </c>
      <c r="H470" t="s">
        <v>18</v>
      </c>
      <c r="I470" t="s">
        <v>16</v>
      </c>
      <c r="J470" t="s">
        <v>17</v>
      </c>
      <c r="L470" t="s">
        <v>18</v>
      </c>
      <c r="M470" t="s">
        <v>1108</v>
      </c>
    </row>
    <row r="471" spans="2:13" x14ac:dyDescent="0.25">
      <c r="B471" t="s">
        <v>1109</v>
      </c>
      <c r="C471">
        <v>13048185</v>
      </c>
      <c r="D471" t="str">
        <f>"3276200352882"</f>
        <v>3276200352882</v>
      </c>
      <c r="E471" t="s">
        <v>1110</v>
      </c>
      <c r="F471" t="s">
        <v>410</v>
      </c>
      <c r="G471">
        <v>1</v>
      </c>
      <c r="H471" t="s">
        <v>18</v>
      </c>
      <c r="I471" t="s">
        <v>16</v>
      </c>
      <c r="J471" t="s">
        <v>17</v>
      </c>
      <c r="L471" t="s">
        <v>18</v>
      </c>
      <c r="M471" t="s">
        <v>1111</v>
      </c>
    </row>
    <row r="472" spans="2:13" x14ac:dyDescent="0.25">
      <c r="B472" t="s">
        <v>1109</v>
      </c>
      <c r="C472">
        <v>13048230</v>
      </c>
      <c r="D472" t="str">
        <f>"3276200353032"</f>
        <v>3276200353032</v>
      </c>
      <c r="E472" t="s">
        <v>1112</v>
      </c>
      <c r="F472" t="s">
        <v>285</v>
      </c>
      <c r="G472">
        <v>1</v>
      </c>
      <c r="H472" t="s">
        <v>18</v>
      </c>
      <c r="I472" t="s">
        <v>16</v>
      </c>
      <c r="J472" t="s">
        <v>17</v>
      </c>
      <c r="L472" t="s">
        <v>18</v>
      </c>
      <c r="M472" t="s">
        <v>1113</v>
      </c>
    </row>
    <row r="473" spans="2:13" x14ac:dyDescent="0.25">
      <c r="B473" t="s">
        <v>1114</v>
      </c>
      <c r="C473">
        <v>12788034</v>
      </c>
      <c r="D473" t="str">
        <f>"4011097470511"</f>
        <v>4011097470511</v>
      </c>
      <c r="E473" t="s">
        <v>1115</v>
      </c>
      <c r="F473" t="s">
        <v>406</v>
      </c>
      <c r="G473">
        <v>1</v>
      </c>
      <c r="H473" t="s">
        <v>18</v>
      </c>
      <c r="I473" t="s">
        <v>16</v>
      </c>
      <c r="J473" t="s">
        <v>429</v>
      </c>
      <c r="L473" t="s">
        <v>18</v>
      </c>
      <c r="M473" t="s">
        <v>1116</v>
      </c>
    </row>
    <row r="474" spans="2:13" x14ac:dyDescent="0.25">
      <c r="B474" t="s">
        <v>1114</v>
      </c>
      <c r="C474">
        <v>12824058</v>
      </c>
      <c r="D474" t="str">
        <f>"4011097633404"</f>
        <v>4011097633404</v>
      </c>
      <c r="E474" t="s">
        <v>1117</v>
      </c>
      <c r="F474" t="s">
        <v>366</v>
      </c>
      <c r="G474">
        <v>1</v>
      </c>
      <c r="H474" t="s">
        <v>18</v>
      </c>
      <c r="I474" t="s">
        <v>16</v>
      </c>
      <c r="J474" t="s">
        <v>429</v>
      </c>
      <c r="L474" t="s">
        <v>18</v>
      </c>
      <c r="M474" t="s">
        <v>1118</v>
      </c>
    </row>
    <row r="475" spans="2:13" x14ac:dyDescent="0.25">
      <c r="B475" t="s">
        <v>1114</v>
      </c>
      <c r="C475">
        <v>12938194</v>
      </c>
      <c r="D475" t="str">
        <f>"4670004658697"</f>
        <v>4670004658697</v>
      </c>
      <c r="E475" t="s">
        <v>1119</v>
      </c>
      <c r="F475" t="s">
        <v>24</v>
      </c>
      <c r="G475">
        <v>1</v>
      </c>
      <c r="H475" t="s">
        <v>18</v>
      </c>
      <c r="I475" t="s">
        <v>16</v>
      </c>
      <c r="J475" t="s">
        <v>1074</v>
      </c>
      <c r="L475" t="s">
        <v>18</v>
      </c>
      <c r="M475" t="s">
        <v>1120</v>
      </c>
    </row>
    <row r="476" spans="2:13" x14ac:dyDescent="0.25">
      <c r="B476" t="s">
        <v>1114</v>
      </c>
      <c r="C476">
        <v>12938207</v>
      </c>
      <c r="D476" t="str">
        <f>"4670004650493"</f>
        <v>4670004650493</v>
      </c>
      <c r="E476" t="s">
        <v>1121</v>
      </c>
      <c r="F476" t="s">
        <v>425</v>
      </c>
      <c r="G476">
        <v>1</v>
      </c>
      <c r="H476" t="s">
        <v>18</v>
      </c>
      <c r="I476" t="s">
        <v>16</v>
      </c>
      <c r="J476" t="s">
        <v>1074</v>
      </c>
      <c r="L476" t="s">
        <v>18</v>
      </c>
      <c r="M476" t="s">
        <v>1122</v>
      </c>
    </row>
    <row r="477" spans="2:13" x14ac:dyDescent="0.25">
      <c r="B477" t="s">
        <v>1114</v>
      </c>
      <c r="C477">
        <v>12938215</v>
      </c>
      <c r="D477" t="str">
        <f>"4670004658727"</f>
        <v>4670004658727</v>
      </c>
      <c r="E477" t="s">
        <v>1123</v>
      </c>
      <c r="F477" t="s">
        <v>413</v>
      </c>
      <c r="G477">
        <v>1</v>
      </c>
      <c r="H477" t="s">
        <v>18</v>
      </c>
      <c r="I477" t="s">
        <v>16</v>
      </c>
      <c r="J477" t="s">
        <v>1074</v>
      </c>
      <c r="L477" t="s">
        <v>18</v>
      </c>
      <c r="M477" t="s">
        <v>1124</v>
      </c>
    </row>
    <row r="478" spans="2:13" x14ac:dyDescent="0.25">
      <c r="B478" t="s">
        <v>1114</v>
      </c>
      <c r="C478">
        <v>12995439</v>
      </c>
      <c r="D478" t="str">
        <f>"4051343033091"</f>
        <v>4051343033091</v>
      </c>
      <c r="E478" t="s">
        <v>1125</v>
      </c>
      <c r="F478" t="s">
        <v>1126</v>
      </c>
      <c r="G478">
        <v>1</v>
      </c>
      <c r="H478" t="s">
        <v>18</v>
      </c>
      <c r="I478" t="s">
        <v>16</v>
      </c>
      <c r="J478" t="s">
        <v>52</v>
      </c>
      <c r="L478" t="s">
        <v>18</v>
      </c>
      <c r="M478" t="s">
        <v>1127</v>
      </c>
    </row>
    <row r="479" spans="2:13" x14ac:dyDescent="0.25">
      <c r="B479" t="s">
        <v>1114</v>
      </c>
      <c r="C479">
        <v>13003307</v>
      </c>
      <c r="D479" t="str">
        <f>"4051343033107"</f>
        <v>4051343033107</v>
      </c>
      <c r="E479" t="s">
        <v>1128</v>
      </c>
      <c r="F479" t="s">
        <v>379</v>
      </c>
      <c r="G479">
        <v>1</v>
      </c>
      <c r="H479" t="s">
        <v>18</v>
      </c>
      <c r="I479" t="s">
        <v>16</v>
      </c>
      <c r="J479" t="s">
        <v>52</v>
      </c>
      <c r="L479" t="s">
        <v>18</v>
      </c>
      <c r="M479" t="s">
        <v>1129</v>
      </c>
    </row>
    <row r="480" spans="2:13" x14ac:dyDescent="0.25">
      <c r="B480" t="s">
        <v>1114</v>
      </c>
      <c r="C480">
        <v>13047326</v>
      </c>
      <c r="D480" t="str">
        <f>"3276200352318"</f>
        <v>3276200352318</v>
      </c>
      <c r="E480" t="s">
        <v>1130</v>
      </c>
      <c r="F480" t="s">
        <v>379</v>
      </c>
      <c r="G480">
        <v>1</v>
      </c>
      <c r="H480" t="s">
        <v>18</v>
      </c>
      <c r="I480" t="s">
        <v>16</v>
      </c>
      <c r="J480" t="s">
        <v>17</v>
      </c>
      <c r="L480" t="s">
        <v>18</v>
      </c>
      <c r="M480" t="s">
        <v>371</v>
      </c>
    </row>
    <row r="481" spans="2:13" x14ac:dyDescent="0.25">
      <c r="B481" t="s">
        <v>1114</v>
      </c>
      <c r="C481">
        <v>13047334</v>
      </c>
      <c r="D481" t="str">
        <f>"3276200352349"</f>
        <v>3276200352349</v>
      </c>
      <c r="E481" t="s">
        <v>1131</v>
      </c>
      <c r="F481" t="s">
        <v>285</v>
      </c>
      <c r="G481">
        <v>1</v>
      </c>
      <c r="H481" t="s">
        <v>18</v>
      </c>
      <c r="I481" t="s">
        <v>16</v>
      </c>
      <c r="J481" t="s">
        <v>17</v>
      </c>
      <c r="L481" t="s">
        <v>18</v>
      </c>
      <c r="M481" t="s">
        <v>1132</v>
      </c>
    </row>
    <row r="482" spans="2:13" x14ac:dyDescent="0.25">
      <c r="B482" t="s">
        <v>1114</v>
      </c>
      <c r="C482">
        <v>13047350</v>
      </c>
      <c r="D482" t="str">
        <f>"3276200352400"</f>
        <v>3276200352400</v>
      </c>
      <c r="E482" t="s">
        <v>1133</v>
      </c>
      <c r="F482" t="s">
        <v>43</v>
      </c>
      <c r="G482">
        <v>1</v>
      </c>
      <c r="H482" t="s">
        <v>18</v>
      </c>
      <c r="I482" t="s">
        <v>16</v>
      </c>
      <c r="J482" t="s">
        <v>17</v>
      </c>
      <c r="L482" t="s">
        <v>18</v>
      </c>
      <c r="M482" t="s">
        <v>1134</v>
      </c>
    </row>
    <row r="483" spans="2:13" x14ac:dyDescent="0.25">
      <c r="B483" t="s">
        <v>1114</v>
      </c>
      <c r="C483">
        <v>13047377</v>
      </c>
      <c r="D483" t="str">
        <f>"3276004823151"</f>
        <v>3276004823151</v>
      </c>
      <c r="E483" t="s">
        <v>1135</v>
      </c>
      <c r="F483" t="s">
        <v>14</v>
      </c>
      <c r="G483">
        <v>0</v>
      </c>
      <c r="H483" t="s">
        <v>18</v>
      </c>
      <c r="I483" t="s">
        <v>16</v>
      </c>
      <c r="J483" t="s">
        <v>17</v>
      </c>
      <c r="L483" t="s">
        <v>18</v>
      </c>
      <c r="M483" t="s">
        <v>1136</v>
      </c>
    </row>
    <row r="484" spans="2:13" x14ac:dyDescent="0.25">
      <c r="B484" t="s">
        <v>1114</v>
      </c>
      <c r="C484">
        <v>13047860</v>
      </c>
      <c r="D484" t="str">
        <f>"3276004823199"</f>
        <v>3276004823199</v>
      </c>
      <c r="E484" t="s">
        <v>1137</v>
      </c>
      <c r="F484" t="s">
        <v>285</v>
      </c>
      <c r="G484">
        <v>1</v>
      </c>
      <c r="H484" t="s">
        <v>18</v>
      </c>
      <c r="I484" t="s">
        <v>16</v>
      </c>
      <c r="J484" t="s">
        <v>17</v>
      </c>
      <c r="L484" t="s">
        <v>18</v>
      </c>
      <c r="M484" t="s">
        <v>1138</v>
      </c>
    </row>
    <row r="485" spans="2:13" x14ac:dyDescent="0.25">
      <c r="B485" t="s">
        <v>1114</v>
      </c>
      <c r="C485">
        <v>13048310</v>
      </c>
      <c r="D485" t="str">
        <f>"3276200353575"</f>
        <v>3276200353575</v>
      </c>
      <c r="E485" t="s">
        <v>1139</v>
      </c>
      <c r="F485" t="s">
        <v>366</v>
      </c>
      <c r="G485">
        <v>1</v>
      </c>
      <c r="H485" t="s">
        <v>18</v>
      </c>
      <c r="I485" t="s">
        <v>16</v>
      </c>
      <c r="J485" t="s">
        <v>17</v>
      </c>
      <c r="L485" t="s">
        <v>18</v>
      </c>
      <c r="M485" t="s">
        <v>1140</v>
      </c>
    </row>
    <row r="486" spans="2:13" x14ac:dyDescent="0.25">
      <c r="B486" t="s">
        <v>1114</v>
      </c>
      <c r="C486">
        <v>13553691</v>
      </c>
      <c r="D486" t="str">
        <f>"4011097684956"</f>
        <v>4011097684956</v>
      </c>
      <c r="E486" t="s">
        <v>1141</v>
      </c>
      <c r="F486" t="s">
        <v>48</v>
      </c>
      <c r="G486">
        <v>1</v>
      </c>
      <c r="H486" t="s">
        <v>18</v>
      </c>
      <c r="I486" t="s">
        <v>16</v>
      </c>
      <c r="J486" t="s">
        <v>429</v>
      </c>
      <c r="L486" t="s">
        <v>18</v>
      </c>
      <c r="M486" t="s">
        <v>1142</v>
      </c>
    </row>
    <row r="487" spans="2:13" x14ac:dyDescent="0.25">
      <c r="B487" t="s">
        <v>1114</v>
      </c>
      <c r="C487">
        <v>13709043</v>
      </c>
      <c r="D487" t="str">
        <f>"4011097686196"</f>
        <v>4011097686196</v>
      </c>
      <c r="E487" t="s">
        <v>1143</v>
      </c>
      <c r="F487" t="s">
        <v>48</v>
      </c>
      <c r="G487">
        <v>1</v>
      </c>
      <c r="H487" t="s">
        <v>18</v>
      </c>
      <c r="I487" t="s">
        <v>16</v>
      </c>
      <c r="J487" t="s">
        <v>429</v>
      </c>
      <c r="L487" t="s">
        <v>18</v>
      </c>
      <c r="M487" t="s">
        <v>1144</v>
      </c>
    </row>
    <row r="488" spans="2:13" x14ac:dyDescent="0.25">
      <c r="B488" t="s">
        <v>1114</v>
      </c>
      <c r="C488">
        <v>14006155</v>
      </c>
      <c r="D488" t="str">
        <f>"4051343026093"</f>
        <v>4051343026093</v>
      </c>
      <c r="E488" t="s">
        <v>1145</v>
      </c>
      <c r="F488" t="s">
        <v>268</v>
      </c>
      <c r="G488">
        <v>1</v>
      </c>
      <c r="H488" t="s">
        <v>18</v>
      </c>
      <c r="I488" t="s">
        <v>16</v>
      </c>
      <c r="J488" t="s">
        <v>52</v>
      </c>
      <c r="L488" t="s">
        <v>18</v>
      </c>
      <c r="M488" t="s">
        <v>1146</v>
      </c>
    </row>
    <row r="489" spans="2:13" x14ac:dyDescent="0.25">
      <c r="B489" t="s">
        <v>1114</v>
      </c>
      <c r="C489">
        <v>14251361</v>
      </c>
      <c r="D489" t="str">
        <f>"3276004826985"</f>
        <v>3276004826985</v>
      </c>
      <c r="E489" t="s">
        <v>1147</v>
      </c>
      <c r="F489" t="s">
        <v>1126</v>
      </c>
      <c r="G489">
        <v>1</v>
      </c>
      <c r="H489" t="s">
        <v>18</v>
      </c>
      <c r="I489" t="s">
        <v>16</v>
      </c>
      <c r="J489" t="s">
        <v>17</v>
      </c>
      <c r="L489" t="s">
        <v>18</v>
      </c>
      <c r="M489" t="s">
        <v>1148</v>
      </c>
    </row>
    <row r="490" spans="2:13" x14ac:dyDescent="0.25">
      <c r="B490" t="s">
        <v>1114</v>
      </c>
      <c r="C490">
        <v>14276593</v>
      </c>
      <c r="D490" t="str">
        <f>"8595593000183"</f>
        <v>8595593000183</v>
      </c>
      <c r="E490" t="s">
        <v>1149</v>
      </c>
      <c r="F490" t="s">
        <v>48</v>
      </c>
      <c r="G490">
        <v>1</v>
      </c>
      <c r="H490" t="s">
        <v>18</v>
      </c>
      <c r="I490" t="s">
        <v>16</v>
      </c>
      <c r="J490" t="s">
        <v>1150</v>
      </c>
      <c r="L490" t="s">
        <v>18</v>
      </c>
      <c r="M490" t="s">
        <v>1151</v>
      </c>
    </row>
    <row r="491" spans="2:13" x14ac:dyDescent="0.25">
      <c r="B491" t="s">
        <v>1114</v>
      </c>
      <c r="C491">
        <v>14277342</v>
      </c>
      <c r="D491" t="str">
        <f>"6914646101806"</f>
        <v>6914646101806</v>
      </c>
      <c r="E491" t="s">
        <v>1152</v>
      </c>
      <c r="F491" t="s">
        <v>1153</v>
      </c>
      <c r="G491">
        <v>1</v>
      </c>
      <c r="H491" t="s">
        <v>18</v>
      </c>
      <c r="I491" t="s">
        <v>16</v>
      </c>
      <c r="J491" t="s">
        <v>360</v>
      </c>
      <c r="L491" t="s">
        <v>18</v>
      </c>
      <c r="M491" t="s">
        <v>1154</v>
      </c>
    </row>
    <row r="492" spans="2:13" x14ac:dyDescent="0.25">
      <c r="B492" t="s">
        <v>1114</v>
      </c>
      <c r="C492">
        <v>14277377</v>
      </c>
      <c r="D492" t="str">
        <f>"9008545372010"</f>
        <v>9008545372010</v>
      </c>
      <c r="E492" t="s">
        <v>1155</v>
      </c>
      <c r="F492" t="s">
        <v>406</v>
      </c>
      <c r="G492">
        <v>1</v>
      </c>
      <c r="H492" t="s">
        <v>18</v>
      </c>
      <c r="I492" t="s">
        <v>16</v>
      </c>
      <c r="J492" t="s">
        <v>360</v>
      </c>
      <c r="L492" t="s">
        <v>18</v>
      </c>
      <c r="M492" t="s">
        <v>1113</v>
      </c>
    </row>
    <row r="493" spans="2:13" x14ac:dyDescent="0.25">
      <c r="B493" t="s">
        <v>1114</v>
      </c>
      <c r="C493">
        <v>14277406</v>
      </c>
      <c r="D493" t="str">
        <f>"9008545415014"</f>
        <v>9008545415014</v>
      </c>
      <c r="E493" t="s">
        <v>1156</v>
      </c>
      <c r="F493" t="s">
        <v>406</v>
      </c>
      <c r="G493">
        <v>1</v>
      </c>
      <c r="H493" t="s">
        <v>18</v>
      </c>
      <c r="I493" t="s">
        <v>16</v>
      </c>
      <c r="J493" t="s">
        <v>360</v>
      </c>
      <c r="L493" t="s">
        <v>18</v>
      </c>
      <c r="M493" t="s">
        <v>1157</v>
      </c>
    </row>
    <row r="494" spans="2:13" x14ac:dyDescent="0.25">
      <c r="B494" t="s">
        <v>1114</v>
      </c>
      <c r="C494">
        <v>14349668</v>
      </c>
      <c r="D494" t="str">
        <f>"4051343035170"</f>
        <v>4051343035170</v>
      </c>
      <c r="E494" t="s">
        <v>1158</v>
      </c>
      <c r="F494" t="s">
        <v>60</v>
      </c>
      <c r="G494">
        <v>1</v>
      </c>
      <c r="H494" t="s">
        <v>18</v>
      </c>
      <c r="I494" t="s">
        <v>16</v>
      </c>
      <c r="J494" t="s">
        <v>52</v>
      </c>
      <c r="L494" t="s">
        <v>18</v>
      </c>
      <c r="M494" t="s">
        <v>1159</v>
      </c>
    </row>
    <row r="495" spans="2:13" x14ac:dyDescent="0.25">
      <c r="B495" t="s">
        <v>1114</v>
      </c>
      <c r="C495">
        <v>14356366</v>
      </c>
      <c r="D495" t="str">
        <f>"3276000249580"</f>
        <v>3276000249580</v>
      </c>
      <c r="E495" t="s">
        <v>1160</v>
      </c>
      <c r="F495" t="s">
        <v>1161</v>
      </c>
      <c r="G495">
        <v>1</v>
      </c>
      <c r="H495" t="s">
        <v>18</v>
      </c>
      <c r="I495" t="s">
        <v>16</v>
      </c>
      <c r="J495" t="s">
        <v>28</v>
      </c>
      <c r="L495" t="s">
        <v>18</v>
      </c>
      <c r="M495" t="s">
        <v>1162</v>
      </c>
    </row>
    <row r="496" spans="2:13" x14ac:dyDescent="0.25">
      <c r="B496" t="s">
        <v>1114</v>
      </c>
      <c r="C496">
        <v>14798375</v>
      </c>
      <c r="D496" t="str">
        <f>"7350078200073"</f>
        <v>7350078200073</v>
      </c>
      <c r="E496" t="s">
        <v>1163</v>
      </c>
      <c r="F496" t="s">
        <v>31</v>
      </c>
      <c r="G496">
        <v>1</v>
      </c>
      <c r="H496" t="s">
        <v>18</v>
      </c>
      <c r="I496" t="s">
        <v>16</v>
      </c>
      <c r="J496" t="s">
        <v>864</v>
      </c>
      <c r="L496" t="s">
        <v>18</v>
      </c>
      <c r="M496" t="s">
        <v>1164</v>
      </c>
    </row>
    <row r="497" spans="2:13" x14ac:dyDescent="0.25">
      <c r="B497" t="s">
        <v>1114</v>
      </c>
      <c r="C497">
        <v>14798404</v>
      </c>
      <c r="D497" t="str">
        <f>"7350078200103"</f>
        <v>7350078200103</v>
      </c>
      <c r="E497" t="s">
        <v>1165</v>
      </c>
      <c r="F497" t="s">
        <v>14</v>
      </c>
      <c r="G497">
        <v>1</v>
      </c>
      <c r="H497" t="s">
        <v>18</v>
      </c>
      <c r="I497" t="s">
        <v>16</v>
      </c>
      <c r="J497" t="s">
        <v>864</v>
      </c>
      <c r="L497" t="s">
        <v>18</v>
      </c>
      <c r="M497" t="s">
        <v>1166</v>
      </c>
    </row>
    <row r="498" spans="2:13" x14ac:dyDescent="0.25">
      <c r="B498" t="s">
        <v>1114</v>
      </c>
      <c r="C498">
        <v>15038546</v>
      </c>
      <c r="D498" t="str">
        <f>"4005176902482"</f>
        <v>4005176902482</v>
      </c>
      <c r="E498" t="s">
        <v>1167</v>
      </c>
      <c r="F498" t="s">
        <v>1168</v>
      </c>
      <c r="G498">
        <v>1</v>
      </c>
      <c r="H498" t="s">
        <v>18</v>
      </c>
      <c r="I498" t="s">
        <v>16</v>
      </c>
      <c r="J498" t="s">
        <v>426</v>
      </c>
      <c r="L498" t="s">
        <v>18</v>
      </c>
      <c r="M498" t="s">
        <v>1169</v>
      </c>
    </row>
    <row r="499" spans="2:13" x14ac:dyDescent="0.25">
      <c r="B499" t="s">
        <v>1114</v>
      </c>
      <c r="C499">
        <v>15094610</v>
      </c>
      <c r="D499" t="str">
        <f>"4005176902543"</f>
        <v>4005176902543</v>
      </c>
      <c r="E499" t="s">
        <v>1170</v>
      </c>
      <c r="F499" t="s">
        <v>170</v>
      </c>
      <c r="G499">
        <v>1</v>
      </c>
      <c r="H499" t="s">
        <v>18</v>
      </c>
      <c r="I499" t="s">
        <v>51</v>
      </c>
      <c r="J499" t="s">
        <v>426</v>
      </c>
      <c r="L499" t="s">
        <v>18</v>
      </c>
      <c r="M499" t="s">
        <v>1171</v>
      </c>
    </row>
    <row r="500" spans="2:13" x14ac:dyDescent="0.25">
      <c r="B500" t="s">
        <v>1114</v>
      </c>
      <c r="C500">
        <v>15094644</v>
      </c>
      <c r="D500" t="str">
        <f>"4005176934094"</f>
        <v>4005176934094</v>
      </c>
      <c r="E500" t="s">
        <v>1172</v>
      </c>
      <c r="F500" t="s">
        <v>242</v>
      </c>
      <c r="G500">
        <v>1</v>
      </c>
      <c r="H500" t="s">
        <v>18</v>
      </c>
      <c r="I500" t="s">
        <v>51</v>
      </c>
      <c r="J500" t="s">
        <v>426</v>
      </c>
      <c r="L500" t="s">
        <v>18</v>
      </c>
      <c r="M500" t="s">
        <v>1173</v>
      </c>
    </row>
    <row r="501" spans="2:13" x14ac:dyDescent="0.25">
      <c r="B501" t="s">
        <v>1114</v>
      </c>
      <c r="C501">
        <v>15610573</v>
      </c>
      <c r="D501" t="str">
        <f>"3276005415782"</f>
        <v>3276005415782</v>
      </c>
      <c r="E501" t="s">
        <v>1174</v>
      </c>
      <c r="F501" t="s">
        <v>194</v>
      </c>
      <c r="G501">
        <v>1</v>
      </c>
      <c r="H501" t="s">
        <v>18</v>
      </c>
      <c r="I501" t="s">
        <v>16</v>
      </c>
      <c r="J501" t="s">
        <v>17</v>
      </c>
      <c r="L501" t="s">
        <v>18</v>
      </c>
      <c r="M501" t="s">
        <v>1175</v>
      </c>
    </row>
    <row r="502" spans="2:13" x14ac:dyDescent="0.25">
      <c r="B502" t="s">
        <v>1114</v>
      </c>
      <c r="C502">
        <v>15610602</v>
      </c>
      <c r="D502" t="str">
        <f>"3276005415690"</f>
        <v>3276005415690</v>
      </c>
      <c r="E502" t="s">
        <v>1176</v>
      </c>
      <c r="F502" t="s">
        <v>973</v>
      </c>
      <c r="G502">
        <v>1</v>
      </c>
      <c r="H502" t="s">
        <v>18</v>
      </c>
      <c r="I502" t="s">
        <v>16</v>
      </c>
      <c r="J502" t="s">
        <v>17</v>
      </c>
      <c r="L502" t="s">
        <v>18</v>
      </c>
      <c r="M502" t="s">
        <v>657</v>
      </c>
    </row>
    <row r="503" spans="2:13" x14ac:dyDescent="0.25">
      <c r="B503" t="s">
        <v>1114</v>
      </c>
      <c r="C503">
        <v>15695327</v>
      </c>
      <c r="D503" t="str">
        <f>"5708516981619"</f>
        <v>5708516981619</v>
      </c>
      <c r="E503" t="s">
        <v>1177</v>
      </c>
      <c r="F503" t="s">
        <v>1178</v>
      </c>
      <c r="G503">
        <v>1</v>
      </c>
      <c r="H503" t="s">
        <v>18</v>
      </c>
      <c r="I503" t="s">
        <v>16</v>
      </c>
      <c r="J503" t="s">
        <v>826</v>
      </c>
      <c r="L503" t="s">
        <v>18</v>
      </c>
      <c r="M503" t="s">
        <v>1179</v>
      </c>
    </row>
    <row r="504" spans="2:13" x14ac:dyDescent="0.25">
      <c r="B504" t="s">
        <v>1114</v>
      </c>
      <c r="C504">
        <v>15695351</v>
      </c>
      <c r="D504" t="str">
        <f>"5708516981046"</f>
        <v>5708516981046</v>
      </c>
      <c r="E504" t="s">
        <v>1180</v>
      </c>
      <c r="F504" t="s">
        <v>1126</v>
      </c>
      <c r="G504">
        <v>1</v>
      </c>
      <c r="H504" t="s">
        <v>18</v>
      </c>
      <c r="I504" t="s">
        <v>16</v>
      </c>
      <c r="J504" t="s">
        <v>826</v>
      </c>
      <c r="L504" t="s">
        <v>18</v>
      </c>
      <c r="M504" t="s">
        <v>1181</v>
      </c>
    </row>
    <row r="505" spans="2:13" x14ac:dyDescent="0.25">
      <c r="B505" t="s">
        <v>1114</v>
      </c>
      <c r="C505">
        <v>16204606</v>
      </c>
      <c r="D505" t="str">
        <f>"8000177229268"</f>
        <v>8000177229268</v>
      </c>
      <c r="E505" t="s">
        <v>1182</v>
      </c>
      <c r="F505" t="s">
        <v>109</v>
      </c>
      <c r="G505">
        <v>1</v>
      </c>
      <c r="H505" t="s">
        <v>18</v>
      </c>
      <c r="I505" t="s">
        <v>16</v>
      </c>
      <c r="J505" t="s">
        <v>989</v>
      </c>
      <c r="L505" t="s">
        <v>18</v>
      </c>
      <c r="M505" t="s">
        <v>1183</v>
      </c>
    </row>
    <row r="506" spans="2:13" x14ac:dyDescent="0.25">
      <c r="B506" t="s">
        <v>1114</v>
      </c>
      <c r="C506">
        <v>16423403</v>
      </c>
      <c r="D506" t="str">
        <f>"3800861053101"</f>
        <v>3800861053101</v>
      </c>
      <c r="E506" t="s">
        <v>1184</v>
      </c>
      <c r="F506" t="s">
        <v>43</v>
      </c>
      <c r="G506">
        <v>1</v>
      </c>
      <c r="H506" t="s">
        <v>18</v>
      </c>
      <c r="I506" t="s">
        <v>16</v>
      </c>
      <c r="J506" t="s">
        <v>221</v>
      </c>
      <c r="L506" t="s">
        <v>18</v>
      </c>
      <c r="M506" t="s">
        <v>1185</v>
      </c>
    </row>
    <row r="507" spans="2:13" x14ac:dyDescent="0.25">
      <c r="B507" t="s">
        <v>1114</v>
      </c>
      <c r="C507">
        <v>16732513</v>
      </c>
      <c r="D507" t="str">
        <f>"4260383670191"</f>
        <v>4260383670191</v>
      </c>
      <c r="E507" t="s">
        <v>1186</v>
      </c>
      <c r="F507" t="s">
        <v>379</v>
      </c>
      <c r="G507">
        <v>1</v>
      </c>
      <c r="H507" t="s">
        <v>18</v>
      </c>
      <c r="I507" t="s">
        <v>16</v>
      </c>
      <c r="J507" t="s">
        <v>1047</v>
      </c>
      <c r="L507" t="s">
        <v>18</v>
      </c>
      <c r="M507" t="s">
        <v>1187</v>
      </c>
    </row>
    <row r="508" spans="2:13" x14ac:dyDescent="0.25">
      <c r="B508" t="s">
        <v>1114</v>
      </c>
      <c r="C508">
        <v>16858298</v>
      </c>
      <c r="D508" t="str">
        <f>"6914646153010"</f>
        <v>6914646153010</v>
      </c>
      <c r="E508" t="s">
        <v>1188</v>
      </c>
      <c r="F508" t="s">
        <v>165</v>
      </c>
      <c r="G508">
        <v>1</v>
      </c>
      <c r="H508" t="s">
        <v>18</v>
      </c>
      <c r="I508" t="s">
        <v>16</v>
      </c>
      <c r="J508" t="s">
        <v>360</v>
      </c>
      <c r="L508" t="s">
        <v>18</v>
      </c>
      <c r="M508" t="s">
        <v>1189</v>
      </c>
    </row>
    <row r="509" spans="2:13" x14ac:dyDescent="0.25">
      <c r="B509" t="s">
        <v>1114</v>
      </c>
      <c r="C509">
        <v>16948517</v>
      </c>
      <c r="D509" t="str">
        <f>"4260383671433"</f>
        <v>4260383671433</v>
      </c>
      <c r="E509" t="s">
        <v>1190</v>
      </c>
      <c r="F509" t="s">
        <v>21</v>
      </c>
      <c r="G509">
        <v>1</v>
      </c>
      <c r="H509" t="s">
        <v>18</v>
      </c>
      <c r="I509" t="s">
        <v>16</v>
      </c>
      <c r="J509" t="s">
        <v>1047</v>
      </c>
      <c r="L509" t="s">
        <v>18</v>
      </c>
      <c r="M509" t="s">
        <v>1191</v>
      </c>
    </row>
    <row r="510" spans="2:13" x14ac:dyDescent="0.25">
      <c r="B510" t="s">
        <v>1114</v>
      </c>
      <c r="C510">
        <v>17193603</v>
      </c>
      <c r="D510" t="str">
        <f>"8595086145858"</f>
        <v>8595086145858</v>
      </c>
      <c r="E510" t="s">
        <v>1192</v>
      </c>
      <c r="F510" t="s">
        <v>285</v>
      </c>
      <c r="G510">
        <v>1</v>
      </c>
      <c r="H510" t="s">
        <v>18</v>
      </c>
      <c r="I510" t="s">
        <v>16</v>
      </c>
      <c r="J510" t="s">
        <v>1007</v>
      </c>
      <c r="L510" t="s">
        <v>18</v>
      </c>
      <c r="M510" t="s">
        <v>1193</v>
      </c>
    </row>
    <row r="511" spans="2:13" x14ac:dyDescent="0.25">
      <c r="B511" t="s">
        <v>1114</v>
      </c>
      <c r="C511">
        <v>17365461</v>
      </c>
      <c r="D511" t="str">
        <f>"4011097738574"</f>
        <v>4011097738574</v>
      </c>
      <c r="E511" t="s">
        <v>1194</v>
      </c>
      <c r="F511" t="s">
        <v>31</v>
      </c>
      <c r="G511">
        <v>1</v>
      </c>
      <c r="H511" t="s">
        <v>18</v>
      </c>
      <c r="I511" t="s">
        <v>16</v>
      </c>
      <c r="J511" t="s">
        <v>429</v>
      </c>
      <c r="L511" t="s">
        <v>18</v>
      </c>
      <c r="M511" t="s">
        <v>1195</v>
      </c>
    </row>
    <row r="512" spans="2:13" x14ac:dyDescent="0.25">
      <c r="B512" t="s">
        <v>1114</v>
      </c>
      <c r="C512">
        <v>17365479</v>
      </c>
      <c r="D512" t="str">
        <f>"4011097738352"</f>
        <v>4011097738352</v>
      </c>
      <c r="E512" t="s">
        <v>1196</v>
      </c>
      <c r="F512" t="s">
        <v>27</v>
      </c>
      <c r="G512">
        <v>1</v>
      </c>
      <c r="H512" t="s">
        <v>18</v>
      </c>
      <c r="I512" t="s">
        <v>16</v>
      </c>
      <c r="J512" t="s">
        <v>429</v>
      </c>
      <c r="L512" t="s">
        <v>18</v>
      </c>
      <c r="M512" t="s">
        <v>1197</v>
      </c>
    </row>
    <row r="513" spans="2:13" x14ac:dyDescent="0.25">
      <c r="B513" t="s">
        <v>1114</v>
      </c>
      <c r="C513">
        <v>17381583</v>
      </c>
      <c r="D513" t="str">
        <f>"4607814940193"</f>
        <v>4607814940193</v>
      </c>
      <c r="E513" t="s">
        <v>1198</v>
      </c>
      <c r="F513" t="s">
        <v>784</v>
      </c>
      <c r="G513">
        <v>1</v>
      </c>
      <c r="H513" t="s">
        <v>18</v>
      </c>
      <c r="I513" t="s">
        <v>16</v>
      </c>
      <c r="J513" t="s">
        <v>1007</v>
      </c>
      <c r="L513" t="s">
        <v>18</v>
      </c>
      <c r="M513" t="s">
        <v>1199</v>
      </c>
    </row>
    <row r="514" spans="2:13" x14ac:dyDescent="0.25">
      <c r="B514" t="s">
        <v>1114</v>
      </c>
      <c r="C514">
        <v>17381604</v>
      </c>
      <c r="D514" t="str">
        <f>"4607814940186"</f>
        <v>4607814940186</v>
      </c>
      <c r="E514" t="s">
        <v>1200</v>
      </c>
      <c r="F514" t="s">
        <v>230</v>
      </c>
      <c r="G514">
        <v>1</v>
      </c>
      <c r="H514" t="s">
        <v>18</v>
      </c>
      <c r="I514" t="s">
        <v>16</v>
      </c>
      <c r="J514" t="s">
        <v>1007</v>
      </c>
      <c r="L514" t="s">
        <v>18</v>
      </c>
      <c r="M514" t="s">
        <v>978</v>
      </c>
    </row>
    <row r="515" spans="2:13" x14ac:dyDescent="0.25">
      <c r="B515" t="s">
        <v>1114</v>
      </c>
      <c r="C515">
        <v>17405291</v>
      </c>
      <c r="D515" t="str">
        <f>"3800861051398"</f>
        <v>3800861051398</v>
      </c>
      <c r="E515" t="s">
        <v>1201</v>
      </c>
      <c r="F515" t="s">
        <v>48</v>
      </c>
      <c r="G515">
        <v>1</v>
      </c>
      <c r="H515" t="s">
        <v>18</v>
      </c>
      <c r="I515" t="s">
        <v>16</v>
      </c>
      <c r="J515" t="s">
        <v>221</v>
      </c>
      <c r="L515" t="s">
        <v>18</v>
      </c>
      <c r="M515" t="s">
        <v>1202</v>
      </c>
    </row>
    <row r="516" spans="2:13" x14ac:dyDescent="0.25">
      <c r="B516" t="s">
        <v>1114</v>
      </c>
      <c r="C516">
        <v>17405320</v>
      </c>
      <c r="D516" t="str">
        <f>"3800861051459"</f>
        <v>3800861051459</v>
      </c>
      <c r="E516" t="s">
        <v>1203</v>
      </c>
      <c r="F516" t="s">
        <v>525</v>
      </c>
      <c r="G516">
        <v>1</v>
      </c>
      <c r="H516" t="s">
        <v>18</v>
      </c>
      <c r="I516" t="s">
        <v>16</v>
      </c>
      <c r="J516" t="s">
        <v>221</v>
      </c>
      <c r="L516" t="s">
        <v>18</v>
      </c>
      <c r="M516" t="s">
        <v>1204</v>
      </c>
    </row>
    <row r="517" spans="2:13" x14ac:dyDescent="0.25">
      <c r="B517" t="s">
        <v>1114</v>
      </c>
      <c r="C517">
        <v>17405338</v>
      </c>
      <c r="D517" t="str">
        <f>"3800861051466"</f>
        <v>3800861051466</v>
      </c>
      <c r="E517" t="s">
        <v>1205</v>
      </c>
      <c r="F517" t="s">
        <v>40</v>
      </c>
      <c r="G517">
        <v>1</v>
      </c>
      <c r="H517" t="s">
        <v>18</v>
      </c>
      <c r="I517" t="s">
        <v>51</v>
      </c>
      <c r="J517" t="s">
        <v>221</v>
      </c>
      <c r="L517" t="s">
        <v>18</v>
      </c>
      <c r="M517" t="s">
        <v>1206</v>
      </c>
    </row>
    <row r="518" spans="2:13" x14ac:dyDescent="0.25">
      <c r="B518" t="s">
        <v>1114</v>
      </c>
      <c r="C518">
        <v>17794492</v>
      </c>
      <c r="D518" t="str">
        <f>"8000177243844"</f>
        <v>8000177243844</v>
      </c>
      <c r="E518" t="s">
        <v>1207</v>
      </c>
      <c r="F518" t="s">
        <v>27</v>
      </c>
      <c r="G518">
        <v>0</v>
      </c>
      <c r="H518" t="s">
        <v>18</v>
      </c>
      <c r="I518" t="s">
        <v>754</v>
      </c>
      <c r="J518" t="s">
        <v>989</v>
      </c>
      <c r="K518" s="1">
        <v>42862</v>
      </c>
      <c r="L518" t="s">
        <v>18</v>
      </c>
      <c r="M518" t="s">
        <v>1208</v>
      </c>
    </row>
    <row r="519" spans="2:13" x14ac:dyDescent="0.25">
      <c r="B519" t="s">
        <v>1114</v>
      </c>
      <c r="C519">
        <v>17843557</v>
      </c>
      <c r="D519" t="str">
        <f>"4627091396223"</f>
        <v>4627091396223</v>
      </c>
      <c r="E519" t="s">
        <v>1209</v>
      </c>
      <c r="F519" t="s">
        <v>194</v>
      </c>
      <c r="G519">
        <v>1</v>
      </c>
      <c r="H519" t="s">
        <v>18</v>
      </c>
      <c r="I519" t="s">
        <v>16</v>
      </c>
      <c r="J519" t="s">
        <v>854</v>
      </c>
      <c r="L519" t="s">
        <v>18</v>
      </c>
      <c r="M519" t="s">
        <v>1210</v>
      </c>
    </row>
    <row r="520" spans="2:13" x14ac:dyDescent="0.25">
      <c r="B520" t="s">
        <v>1114</v>
      </c>
      <c r="C520">
        <v>17843581</v>
      </c>
      <c r="D520" t="str">
        <f>"4627091396254"</f>
        <v>4627091396254</v>
      </c>
      <c r="E520" t="s">
        <v>1211</v>
      </c>
      <c r="F520" t="s">
        <v>413</v>
      </c>
      <c r="G520">
        <v>1</v>
      </c>
      <c r="H520" t="s">
        <v>18</v>
      </c>
      <c r="I520" t="s">
        <v>16</v>
      </c>
      <c r="J520" t="s">
        <v>854</v>
      </c>
      <c r="L520" t="s">
        <v>18</v>
      </c>
      <c r="M520" t="s">
        <v>1212</v>
      </c>
    </row>
    <row r="521" spans="2:13" x14ac:dyDescent="0.25">
      <c r="B521" t="s">
        <v>1114</v>
      </c>
      <c r="C521">
        <v>17882484</v>
      </c>
      <c r="D521" t="str">
        <f>"7350078200424"</f>
        <v>7350078200424</v>
      </c>
      <c r="E521" t="s">
        <v>1213</v>
      </c>
      <c r="F521" t="s">
        <v>191</v>
      </c>
      <c r="G521">
        <v>1</v>
      </c>
      <c r="H521" t="s">
        <v>18</v>
      </c>
      <c r="I521" t="s">
        <v>16</v>
      </c>
      <c r="J521" t="s">
        <v>864</v>
      </c>
      <c r="L521" t="s">
        <v>18</v>
      </c>
      <c r="M521" t="s">
        <v>1214</v>
      </c>
    </row>
    <row r="522" spans="2:13" x14ac:dyDescent="0.25">
      <c r="B522" t="s">
        <v>1114</v>
      </c>
      <c r="C522">
        <v>18079079</v>
      </c>
      <c r="D522" t="str">
        <f>"8000177253904"</f>
        <v>8000177253904</v>
      </c>
      <c r="E522" t="s">
        <v>1215</v>
      </c>
      <c r="F522" t="s">
        <v>31</v>
      </c>
      <c r="G522">
        <v>0</v>
      </c>
      <c r="H522" t="s">
        <v>18</v>
      </c>
      <c r="I522" t="s">
        <v>754</v>
      </c>
      <c r="J522" t="s">
        <v>989</v>
      </c>
      <c r="K522" s="1">
        <v>42862</v>
      </c>
      <c r="L522" t="s">
        <v>18</v>
      </c>
      <c r="M522" t="s">
        <v>1216</v>
      </c>
    </row>
    <row r="523" spans="2:13" x14ac:dyDescent="0.25">
      <c r="B523" t="s">
        <v>1114</v>
      </c>
      <c r="C523">
        <v>18079116</v>
      </c>
      <c r="D523" t="str">
        <f>"8000177253942"</f>
        <v>8000177253942</v>
      </c>
      <c r="E523" t="s">
        <v>1217</v>
      </c>
      <c r="F523" t="s">
        <v>21</v>
      </c>
      <c r="G523">
        <v>1</v>
      </c>
      <c r="H523" t="s">
        <v>18</v>
      </c>
      <c r="I523" t="s">
        <v>51</v>
      </c>
      <c r="J523" t="s">
        <v>989</v>
      </c>
      <c r="L523" t="s">
        <v>18</v>
      </c>
      <c r="M523" t="s">
        <v>610</v>
      </c>
    </row>
    <row r="524" spans="2:13" x14ac:dyDescent="0.25">
      <c r="B524" t="s">
        <v>1114</v>
      </c>
      <c r="C524">
        <v>18079141</v>
      </c>
      <c r="D524" t="str">
        <f>"8000177255014"</f>
        <v>8000177255014</v>
      </c>
      <c r="E524" t="s">
        <v>1218</v>
      </c>
      <c r="F524" t="s">
        <v>109</v>
      </c>
      <c r="G524">
        <v>1</v>
      </c>
      <c r="H524" t="s">
        <v>18</v>
      </c>
      <c r="I524" t="s">
        <v>16</v>
      </c>
      <c r="J524" t="s">
        <v>989</v>
      </c>
      <c r="L524" t="s">
        <v>18</v>
      </c>
      <c r="M524" t="s">
        <v>1219</v>
      </c>
    </row>
    <row r="525" spans="2:13" x14ac:dyDescent="0.25">
      <c r="B525" t="s">
        <v>1114</v>
      </c>
      <c r="C525">
        <v>18301821</v>
      </c>
      <c r="D525" t="str">
        <f>"4005176334856"</f>
        <v>4005176334856</v>
      </c>
      <c r="E525" t="s">
        <v>1220</v>
      </c>
      <c r="F525" t="s">
        <v>406</v>
      </c>
      <c r="G525">
        <v>1</v>
      </c>
      <c r="H525" t="s">
        <v>18</v>
      </c>
      <c r="I525" t="s">
        <v>16</v>
      </c>
      <c r="J525" t="s">
        <v>426</v>
      </c>
      <c r="L525" t="s">
        <v>18</v>
      </c>
      <c r="M525" t="s">
        <v>1221</v>
      </c>
    </row>
    <row r="526" spans="2:13" x14ac:dyDescent="0.25">
      <c r="B526" t="s">
        <v>1114</v>
      </c>
      <c r="C526">
        <v>18414691</v>
      </c>
      <c r="D526" t="str">
        <f>"3800861050957"</f>
        <v>3800861050957</v>
      </c>
      <c r="E526" t="s">
        <v>1222</v>
      </c>
      <c r="F526" t="s">
        <v>194</v>
      </c>
      <c r="G526">
        <v>1</v>
      </c>
      <c r="H526" t="s">
        <v>18</v>
      </c>
      <c r="I526" t="s">
        <v>680</v>
      </c>
      <c r="J526" t="s">
        <v>221</v>
      </c>
      <c r="L526" t="s">
        <v>18</v>
      </c>
      <c r="M526" t="s">
        <v>567</v>
      </c>
    </row>
    <row r="527" spans="2:13" x14ac:dyDescent="0.25">
      <c r="B527" t="s">
        <v>1114</v>
      </c>
      <c r="C527">
        <v>18555311</v>
      </c>
      <c r="D527" t="str">
        <f>"4051343039581"</f>
        <v>4051343039581</v>
      </c>
      <c r="E527" t="s">
        <v>1223</v>
      </c>
      <c r="F527" t="s">
        <v>1224</v>
      </c>
      <c r="G527">
        <v>1</v>
      </c>
      <c r="H527" t="s">
        <v>18</v>
      </c>
      <c r="I527" t="s">
        <v>16</v>
      </c>
      <c r="J527" t="s">
        <v>52</v>
      </c>
      <c r="L527" t="s">
        <v>18</v>
      </c>
      <c r="M527" t="s">
        <v>1185</v>
      </c>
    </row>
    <row r="528" spans="2:13" x14ac:dyDescent="0.25">
      <c r="B528" t="s">
        <v>1114</v>
      </c>
      <c r="C528">
        <v>18597001</v>
      </c>
      <c r="D528" t="str">
        <f>"6944658700452"</f>
        <v>6944658700452</v>
      </c>
      <c r="E528" t="s">
        <v>1225</v>
      </c>
      <c r="F528" t="s">
        <v>442</v>
      </c>
      <c r="G528">
        <v>1</v>
      </c>
      <c r="H528" t="s">
        <v>18</v>
      </c>
      <c r="I528" t="s">
        <v>16</v>
      </c>
      <c r="J528" t="s">
        <v>333</v>
      </c>
      <c r="L528" t="s">
        <v>18</v>
      </c>
      <c r="M528" t="s">
        <v>1226</v>
      </c>
    </row>
    <row r="529" spans="2:13" x14ac:dyDescent="0.25">
      <c r="B529" t="s">
        <v>1114</v>
      </c>
      <c r="C529">
        <v>18624891</v>
      </c>
      <c r="D529" t="str">
        <f>"4011097834221"</f>
        <v>4011097834221</v>
      </c>
      <c r="E529" t="s">
        <v>1227</v>
      </c>
      <c r="F529" t="s">
        <v>194</v>
      </c>
      <c r="G529">
        <v>1</v>
      </c>
      <c r="H529" t="s">
        <v>18</v>
      </c>
      <c r="I529" t="s">
        <v>51</v>
      </c>
      <c r="J529" t="s">
        <v>429</v>
      </c>
      <c r="L529" t="s">
        <v>18</v>
      </c>
      <c r="M529" t="s">
        <v>1228</v>
      </c>
    </row>
    <row r="530" spans="2:13" x14ac:dyDescent="0.25">
      <c r="B530" t="s">
        <v>1114</v>
      </c>
      <c r="C530">
        <v>18624903</v>
      </c>
      <c r="D530" t="str">
        <f>"4011097834450"</f>
        <v>4011097834450</v>
      </c>
      <c r="E530" t="s">
        <v>1229</v>
      </c>
      <c r="F530" t="s">
        <v>194</v>
      </c>
      <c r="G530">
        <v>1</v>
      </c>
      <c r="H530" t="s">
        <v>18</v>
      </c>
      <c r="I530" t="s">
        <v>51</v>
      </c>
      <c r="J530" t="s">
        <v>429</v>
      </c>
      <c r="L530" t="s">
        <v>18</v>
      </c>
      <c r="M530" t="s">
        <v>1230</v>
      </c>
    </row>
    <row r="531" spans="2:13" x14ac:dyDescent="0.25">
      <c r="B531" t="s">
        <v>1231</v>
      </c>
      <c r="C531">
        <v>12788069</v>
      </c>
      <c r="D531" t="str">
        <f>"4011097470535"</f>
        <v>4011097470535</v>
      </c>
      <c r="E531" t="s">
        <v>1232</v>
      </c>
      <c r="F531" t="s">
        <v>48</v>
      </c>
      <c r="G531">
        <v>1</v>
      </c>
      <c r="H531" t="s">
        <v>18</v>
      </c>
      <c r="I531" t="s">
        <v>16</v>
      </c>
      <c r="J531" t="s">
        <v>429</v>
      </c>
      <c r="L531" t="s">
        <v>18</v>
      </c>
      <c r="M531" t="s">
        <v>1233</v>
      </c>
    </row>
    <row r="532" spans="2:13" x14ac:dyDescent="0.25">
      <c r="B532" t="s">
        <v>1231</v>
      </c>
      <c r="C532">
        <v>12824138</v>
      </c>
      <c r="D532" t="str">
        <f>"4011097633435"</f>
        <v>4011097633435</v>
      </c>
      <c r="E532" t="s">
        <v>1234</v>
      </c>
      <c r="F532" t="s">
        <v>366</v>
      </c>
      <c r="G532">
        <v>1</v>
      </c>
      <c r="H532" t="s">
        <v>18</v>
      </c>
      <c r="I532" t="s">
        <v>16</v>
      </c>
      <c r="J532" t="s">
        <v>429</v>
      </c>
      <c r="L532" t="s">
        <v>18</v>
      </c>
      <c r="M532" t="s">
        <v>1235</v>
      </c>
    </row>
    <row r="533" spans="2:13" x14ac:dyDescent="0.25">
      <c r="B533" t="s">
        <v>1231</v>
      </c>
      <c r="C533">
        <v>12938135</v>
      </c>
      <c r="D533" t="str">
        <f>"4670004650431"</f>
        <v>4670004650431</v>
      </c>
      <c r="E533" t="s">
        <v>1236</v>
      </c>
      <c r="F533" t="s">
        <v>285</v>
      </c>
      <c r="G533">
        <v>1</v>
      </c>
      <c r="H533" t="s">
        <v>18</v>
      </c>
      <c r="I533" t="s">
        <v>16</v>
      </c>
      <c r="J533" t="s">
        <v>1074</v>
      </c>
      <c r="L533" t="s">
        <v>18</v>
      </c>
      <c r="M533" t="s">
        <v>1237</v>
      </c>
    </row>
    <row r="534" spans="2:13" x14ac:dyDescent="0.25">
      <c r="B534" t="s">
        <v>1231</v>
      </c>
      <c r="C534">
        <v>12995412</v>
      </c>
      <c r="D534" t="str">
        <f>"4051343033114"</f>
        <v>4051343033114</v>
      </c>
      <c r="E534" t="s">
        <v>1238</v>
      </c>
      <c r="F534" t="s">
        <v>1239</v>
      </c>
      <c r="G534">
        <v>1</v>
      </c>
      <c r="H534" t="s">
        <v>18</v>
      </c>
      <c r="I534" t="s">
        <v>16</v>
      </c>
      <c r="J534" t="s">
        <v>52</v>
      </c>
      <c r="L534" t="s">
        <v>18</v>
      </c>
      <c r="M534" t="s">
        <v>1240</v>
      </c>
    </row>
    <row r="535" spans="2:13" x14ac:dyDescent="0.25">
      <c r="B535" t="s">
        <v>1231</v>
      </c>
      <c r="C535">
        <v>13047342</v>
      </c>
      <c r="D535" t="str">
        <f>"3276200352370"</f>
        <v>3276200352370</v>
      </c>
      <c r="E535" t="s">
        <v>1241</v>
      </c>
      <c r="F535" t="s">
        <v>60</v>
      </c>
      <c r="G535">
        <v>0</v>
      </c>
      <c r="H535" t="s">
        <v>18</v>
      </c>
      <c r="I535" t="s">
        <v>16</v>
      </c>
      <c r="J535" t="s">
        <v>17</v>
      </c>
      <c r="L535" t="s">
        <v>18</v>
      </c>
      <c r="M535" t="s">
        <v>1242</v>
      </c>
    </row>
    <row r="536" spans="2:13" x14ac:dyDescent="0.25">
      <c r="B536" t="s">
        <v>1231</v>
      </c>
      <c r="C536">
        <v>13047879</v>
      </c>
      <c r="D536" t="str">
        <f>"3276004820198"</f>
        <v>3276004820198</v>
      </c>
      <c r="E536" t="s">
        <v>1243</v>
      </c>
      <c r="F536" t="s">
        <v>60</v>
      </c>
      <c r="G536">
        <v>1</v>
      </c>
      <c r="H536" t="s">
        <v>18</v>
      </c>
      <c r="I536" t="s">
        <v>16</v>
      </c>
      <c r="J536" t="s">
        <v>17</v>
      </c>
      <c r="L536" t="s">
        <v>18</v>
      </c>
      <c r="M536" t="s">
        <v>1244</v>
      </c>
    </row>
    <row r="537" spans="2:13" x14ac:dyDescent="0.25">
      <c r="B537" t="s">
        <v>1231</v>
      </c>
      <c r="C537">
        <v>13048337</v>
      </c>
      <c r="D537" t="str">
        <f>"3276200353759"</f>
        <v>3276200353759</v>
      </c>
      <c r="E537" t="s">
        <v>1245</v>
      </c>
      <c r="F537" t="s">
        <v>60</v>
      </c>
      <c r="G537">
        <v>1</v>
      </c>
      <c r="H537" t="s">
        <v>18</v>
      </c>
      <c r="I537" t="s">
        <v>16</v>
      </c>
      <c r="J537" t="s">
        <v>17</v>
      </c>
      <c r="L537" t="s">
        <v>18</v>
      </c>
      <c r="M537" t="s">
        <v>1246</v>
      </c>
    </row>
    <row r="538" spans="2:13" x14ac:dyDescent="0.25">
      <c r="B538" t="s">
        <v>1231</v>
      </c>
      <c r="C538">
        <v>14006171</v>
      </c>
      <c r="D538" t="str">
        <f>"4051343026109"</f>
        <v>4051343026109</v>
      </c>
      <c r="E538" t="s">
        <v>1247</v>
      </c>
      <c r="F538" t="s">
        <v>60</v>
      </c>
      <c r="G538">
        <v>1</v>
      </c>
      <c r="H538" t="s">
        <v>18</v>
      </c>
      <c r="I538" t="s">
        <v>16</v>
      </c>
      <c r="J538" t="s">
        <v>52</v>
      </c>
      <c r="L538" t="s">
        <v>18</v>
      </c>
      <c r="M538" t="s">
        <v>1248</v>
      </c>
    </row>
    <row r="539" spans="2:13" x14ac:dyDescent="0.25">
      <c r="B539" t="s">
        <v>1231</v>
      </c>
      <c r="C539">
        <v>14276606</v>
      </c>
      <c r="D539" t="str">
        <f>"8595593000190"</f>
        <v>8595593000190</v>
      </c>
      <c r="E539" t="s">
        <v>1249</v>
      </c>
      <c r="F539" t="s">
        <v>1016</v>
      </c>
      <c r="G539">
        <v>1</v>
      </c>
      <c r="H539" t="s">
        <v>18</v>
      </c>
      <c r="I539" t="s">
        <v>16</v>
      </c>
      <c r="J539" t="s">
        <v>1150</v>
      </c>
      <c r="L539" t="s">
        <v>18</v>
      </c>
      <c r="M539" t="s">
        <v>1250</v>
      </c>
    </row>
    <row r="540" spans="2:13" x14ac:dyDescent="0.25">
      <c r="B540" t="s">
        <v>1231</v>
      </c>
      <c r="C540">
        <v>14277350</v>
      </c>
      <c r="D540" t="str">
        <f>"6914646118309"</f>
        <v>6914646118309</v>
      </c>
      <c r="E540" t="s">
        <v>1251</v>
      </c>
      <c r="F540" t="s">
        <v>948</v>
      </c>
      <c r="G540">
        <v>1</v>
      </c>
      <c r="H540" t="s">
        <v>18</v>
      </c>
      <c r="I540" t="s">
        <v>16</v>
      </c>
      <c r="J540" t="s">
        <v>360</v>
      </c>
      <c r="L540" t="s">
        <v>18</v>
      </c>
      <c r="M540" t="s">
        <v>1252</v>
      </c>
    </row>
    <row r="541" spans="2:13" x14ac:dyDescent="0.25">
      <c r="B541" t="s">
        <v>1231</v>
      </c>
      <c r="C541">
        <v>14277385</v>
      </c>
      <c r="D541" t="str">
        <f>"9008545372027"</f>
        <v>9008545372027</v>
      </c>
      <c r="E541" t="s">
        <v>1253</v>
      </c>
      <c r="F541" t="s">
        <v>21</v>
      </c>
      <c r="G541">
        <v>1</v>
      </c>
      <c r="H541" t="s">
        <v>18</v>
      </c>
      <c r="I541" t="s">
        <v>16</v>
      </c>
      <c r="J541" t="s">
        <v>360</v>
      </c>
      <c r="L541" t="s">
        <v>18</v>
      </c>
      <c r="M541" t="s">
        <v>1254</v>
      </c>
    </row>
    <row r="542" spans="2:13" x14ac:dyDescent="0.25">
      <c r="B542" t="s">
        <v>1231</v>
      </c>
      <c r="C542">
        <v>14277414</v>
      </c>
      <c r="D542" t="str">
        <f>"9008545415021"</f>
        <v>9008545415021</v>
      </c>
      <c r="E542" t="s">
        <v>1255</v>
      </c>
      <c r="F542" t="s">
        <v>43</v>
      </c>
      <c r="G542">
        <v>1</v>
      </c>
      <c r="H542" t="s">
        <v>18</v>
      </c>
      <c r="I542" t="s">
        <v>16</v>
      </c>
      <c r="J542" t="s">
        <v>360</v>
      </c>
      <c r="L542" t="s">
        <v>18</v>
      </c>
      <c r="M542" t="s">
        <v>1256</v>
      </c>
    </row>
    <row r="543" spans="2:13" x14ac:dyDescent="0.25">
      <c r="B543" t="s">
        <v>1231</v>
      </c>
      <c r="C543">
        <v>14349641</v>
      </c>
      <c r="D543" t="str">
        <f>"4051343035187"</f>
        <v>4051343035187</v>
      </c>
      <c r="E543" t="s">
        <v>1257</v>
      </c>
      <c r="F543" t="s">
        <v>268</v>
      </c>
      <c r="G543">
        <v>1</v>
      </c>
      <c r="H543" t="s">
        <v>18</v>
      </c>
      <c r="I543" t="s">
        <v>16</v>
      </c>
      <c r="J543" t="s">
        <v>52</v>
      </c>
      <c r="L543" t="s">
        <v>18</v>
      </c>
      <c r="M543" t="s">
        <v>1248</v>
      </c>
    </row>
    <row r="544" spans="2:13" x14ac:dyDescent="0.25">
      <c r="B544" t="s">
        <v>1231</v>
      </c>
      <c r="C544">
        <v>14356358</v>
      </c>
      <c r="D544" t="str">
        <f>"3276004888204"</f>
        <v>3276004888204</v>
      </c>
      <c r="E544" t="s">
        <v>1258</v>
      </c>
      <c r="F544" t="s">
        <v>823</v>
      </c>
      <c r="G544">
        <v>1</v>
      </c>
      <c r="H544" t="s">
        <v>18</v>
      </c>
      <c r="I544" t="s">
        <v>16</v>
      </c>
      <c r="J544" t="s">
        <v>17</v>
      </c>
      <c r="L544" t="s">
        <v>18</v>
      </c>
      <c r="M544" t="s">
        <v>1259</v>
      </c>
    </row>
    <row r="545" spans="2:13" x14ac:dyDescent="0.25">
      <c r="B545" t="s">
        <v>1231</v>
      </c>
      <c r="C545">
        <v>14548325</v>
      </c>
      <c r="D545" t="str">
        <f>"4011097629889"</f>
        <v>4011097629889</v>
      </c>
      <c r="E545" t="s">
        <v>1260</v>
      </c>
      <c r="F545" t="s">
        <v>48</v>
      </c>
      <c r="G545">
        <v>1</v>
      </c>
      <c r="H545" t="s">
        <v>18</v>
      </c>
      <c r="I545" t="s">
        <v>16</v>
      </c>
      <c r="J545" t="s">
        <v>429</v>
      </c>
      <c r="L545" t="s">
        <v>18</v>
      </c>
      <c r="M545" t="s">
        <v>1261</v>
      </c>
    </row>
    <row r="546" spans="2:13" x14ac:dyDescent="0.25">
      <c r="B546" t="s">
        <v>1231</v>
      </c>
      <c r="C546">
        <v>14798391</v>
      </c>
      <c r="D546" t="str">
        <f>"7350078200097"</f>
        <v>7350078200097</v>
      </c>
      <c r="E546" t="s">
        <v>1262</v>
      </c>
      <c r="F546" t="s">
        <v>24</v>
      </c>
      <c r="G546">
        <v>1</v>
      </c>
      <c r="H546" t="s">
        <v>18</v>
      </c>
      <c r="I546" t="s">
        <v>16</v>
      </c>
      <c r="J546" t="s">
        <v>864</v>
      </c>
      <c r="L546" t="s">
        <v>18</v>
      </c>
      <c r="M546" t="s">
        <v>1263</v>
      </c>
    </row>
    <row r="547" spans="2:13" x14ac:dyDescent="0.25">
      <c r="B547" t="s">
        <v>1231</v>
      </c>
      <c r="C547">
        <v>14798421</v>
      </c>
      <c r="D547" t="str">
        <f>"7350078200127"</f>
        <v>7350078200127</v>
      </c>
      <c r="E547" t="s">
        <v>1264</v>
      </c>
      <c r="F547" t="s">
        <v>14</v>
      </c>
      <c r="G547">
        <v>1</v>
      </c>
      <c r="H547" t="s">
        <v>18</v>
      </c>
      <c r="I547" t="s">
        <v>16</v>
      </c>
      <c r="J547" t="s">
        <v>864</v>
      </c>
      <c r="L547" t="s">
        <v>18</v>
      </c>
      <c r="M547" t="s">
        <v>1265</v>
      </c>
    </row>
    <row r="548" spans="2:13" x14ac:dyDescent="0.25">
      <c r="B548" t="s">
        <v>1231</v>
      </c>
      <c r="C548">
        <v>15094599</v>
      </c>
      <c r="D548" t="str">
        <f>"4005176874390"</f>
        <v>4005176874390</v>
      </c>
      <c r="E548" t="s">
        <v>1266</v>
      </c>
      <c r="F548" t="s">
        <v>277</v>
      </c>
      <c r="G548">
        <v>1</v>
      </c>
      <c r="H548" t="s">
        <v>18</v>
      </c>
      <c r="I548" t="s">
        <v>16</v>
      </c>
      <c r="J548" t="s">
        <v>426</v>
      </c>
      <c r="L548" t="s">
        <v>18</v>
      </c>
      <c r="M548" t="s">
        <v>1267</v>
      </c>
    </row>
    <row r="549" spans="2:13" x14ac:dyDescent="0.25">
      <c r="B549" t="s">
        <v>1231</v>
      </c>
      <c r="C549">
        <v>15094628</v>
      </c>
      <c r="D549" t="str">
        <f>"4005176876387"</f>
        <v>4005176876387</v>
      </c>
      <c r="E549" t="s">
        <v>1268</v>
      </c>
      <c r="F549" t="s">
        <v>525</v>
      </c>
      <c r="G549">
        <v>1</v>
      </c>
      <c r="H549" t="s">
        <v>18</v>
      </c>
      <c r="I549" t="s">
        <v>51</v>
      </c>
      <c r="J549" t="s">
        <v>426</v>
      </c>
      <c r="L549" t="s">
        <v>18</v>
      </c>
      <c r="M549" t="s">
        <v>1269</v>
      </c>
    </row>
    <row r="550" spans="2:13" x14ac:dyDescent="0.25">
      <c r="B550" t="s">
        <v>1231</v>
      </c>
      <c r="C550">
        <v>15094652</v>
      </c>
      <c r="D550" t="str">
        <f>"4005176874703"</f>
        <v>4005176874703</v>
      </c>
      <c r="E550" t="s">
        <v>1270</v>
      </c>
      <c r="F550" t="s">
        <v>410</v>
      </c>
      <c r="G550">
        <v>1</v>
      </c>
      <c r="H550" t="s">
        <v>18</v>
      </c>
      <c r="I550" t="s">
        <v>51</v>
      </c>
      <c r="J550" t="s">
        <v>426</v>
      </c>
      <c r="L550" t="s">
        <v>18</v>
      </c>
      <c r="M550" t="s">
        <v>1271</v>
      </c>
    </row>
    <row r="551" spans="2:13" x14ac:dyDescent="0.25">
      <c r="B551" t="s">
        <v>1231</v>
      </c>
      <c r="C551">
        <v>15610565</v>
      </c>
      <c r="D551" t="str">
        <f>"3276005415812"</f>
        <v>3276005415812</v>
      </c>
      <c r="E551" t="s">
        <v>1272</v>
      </c>
      <c r="F551" t="s">
        <v>27</v>
      </c>
      <c r="G551">
        <v>1</v>
      </c>
      <c r="H551" t="s">
        <v>18</v>
      </c>
      <c r="I551" t="s">
        <v>16</v>
      </c>
      <c r="J551" t="s">
        <v>17</v>
      </c>
      <c r="L551" t="s">
        <v>18</v>
      </c>
      <c r="M551" t="s">
        <v>203</v>
      </c>
    </row>
    <row r="552" spans="2:13" x14ac:dyDescent="0.25">
      <c r="B552" t="s">
        <v>1231</v>
      </c>
      <c r="C552">
        <v>15610590</v>
      </c>
      <c r="D552" t="str">
        <f>"3276005415720"</f>
        <v>3276005415720</v>
      </c>
      <c r="E552" t="s">
        <v>1273</v>
      </c>
      <c r="F552" t="s">
        <v>191</v>
      </c>
      <c r="G552">
        <v>1</v>
      </c>
      <c r="H552" t="s">
        <v>18</v>
      </c>
      <c r="I552" t="s">
        <v>16</v>
      </c>
      <c r="J552" t="s">
        <v>17</v>
      </c>
      <c r="L552" t="s">
        <v>18</v>
      </c>
      <c r="M552" t="s">
        <v>1274</v>
      </c>
    </row>
    <row r="553" spans="2:13" x14ac:dyDescent="0.25">
      <c r="B553" t="s">
        <v>1231</v>
      </c>
      <c r="C553">
        <v>15695335</v>
      </c>
      <c r="D553" t="str">
        <f>"5708516981633"</f>
        <v>5708516981633</v>
      </c>
      <c r="E553" t="s">
        <v>1275</v>
      </c>
      <c r="F553" t="s">
        <v>322</v>
      </c>
      <c r="G553">
        <v>1</v>
      </c>
      <c r="H553" t="s">
        <v>18</v>
      </c>
      <c r="I553" t="s">
        <v>16</v>
      </c>
      <c r="J553" t="s">
        <v>826</v>
      </c>
      <c r="L553" t="s">
        <v>18</v>
      </c>
      <c r="M553" t="s">
        <v>1276</v>
      </c>
    </row>
    <row r="554" spans="2:13" x14ac:dyDescent="0.25">
      <c r="B554" t="s">
        <v>1231</v>
      </c>
      <c r="C554">
        <v>15695360</v>
      </c>
      <c r="D554" t="str">
        <f>"5708516981022"</f>
        <v>5708516981022</v>
      </c>
      <c r="E554" t="s">
        <v>1277</v>
      </c>
      <c r="F554" t="s">
        <v>1178</v>
      </c>
      <c r="G554">
        <v>1</v>
      </c>
      <c r="H554" t="s">
        <v>18</v>
      </c>
      <c r="I554" t="s">
        <v>16</v>
      </c>
      <c r="J554" t="s">
        <v>826</v>
      </c>
      <c r="L554" t="s">
        <v>18</v>
      </c>
      <c r="M554" t="s">
        <v>1278</v>
      </c>
    </row>
    <row r="555" spans="2:13" x14ac:dyDescent="0.25">
      <c r="B555" t="s">
        <v>1231</v>
      </c>
      <c r="C555">
        <v>15695394</v>
      </c>
      <c r="D555" t="str">
        <f>"5708516980902"</f>
        <v>5708516980902</v>
      </c>
      <c r="E555" t="s">
        <v>1279</v>
      </c>
      <c r="F555" t="s">
        <v>788</v>
      </c>
      <c r="G555">
        <v>1</v>
      </c>
      <c r="H555" t="s">
        <v>18</v>
      </c>
      <c r="I555" t="s">
        <v>16</v>
      </c>
      <c r="J555" t="s">
        <v>826</v>
      </c>
      <c r="L555" t="s">
        <v>18</v>
      </c>
      <c r="M555" t="s">
        <v>1280</v>
      </c>
    </row>
    <row r="556" spans="2:13" x14ac:dyDescent="0.25">
      <c r="B556" t="s">
        <v>1231</v>
      </c>
      <c r="C556">
        <v>15695423</v>
      </c>
      <c r="D556" t="str">
        <f>"5708516980988"</f>
        <v>5708516980988</v>
      </c>
      <c r="E556" t="s">
        <v>1281</v>
      </c>
      <c r="F556" t="s">
        <v>1239</v>
      </c>
      <c r="G556">
        <v>1</v>
      </c>
      <c r="H556" t="s">
        <v>18</v>
      </c>
      <c r="I556" t="s">
        <v>51</v>
      </c>
      <c r="J556" t="s">
        <v>826</v>
      </c>
      <c r="L556" t="s">
        <v>18</v>
      </c>
      <c r="M556" t="s">
        <v>1282</v>
      </c>
    </row>
    <row r="557" spans="2:13" x14ac:dyDescent="0.25">
      <c r="B557" t="s">
        <v>1231</v>
      </c>
      <c r="C557">
        <v>15970499</v>
      </c>
      <c r="D557" t="str">
        <f>"7350078200332"</f>
        <v>7350078200332</v>
      </c>
      <c r="E557" t="s">
        <v>1283</v>
      </c>
      <c r="F557" t="s">
        <v>43</v>
      </c>
      <c r="G557">
        <v>1</v>
      </c>
      <c r="H557" t="s">
        <v>18</v>
      </c>
      <c r="I557" t="s">
        <v>16</v>
      </c>
      <c r="J557" t="s">
        <v>864</v>
      </c>
      <c r="L557" t="s">
        <v>18</v>
      </c>
      <c r="M557" t="s">
        <v>1284</v>
      </c>
    </row>
    <row r="558" spans="2:13" x14ac:dyDescent="0.25">
      <c r="B558" t="s">
        <v>1231</v>
      </c>
      <c r="C558">
        <v>16732601</v>
      </c>
      <c r="D558" t="str">
        <f>"2000167326010"</f>
        <v>2000167326010</v>
      </c>
      <c r="E558" t="s">
        <v>1285</v>
      </c>
      <c r="F558" t="s">
        <v>21</v>
      </c>
      <c r="G558">
        <v>1</v>
      </c>
      <c r="H558" t="s">
        <v>18</v>
      </c>
      <c r="I558" t="s">
        <v>16</v>
      </c>
      <c r="J558" t="s">
        <v>1047</v>
      </c>
      <c r="L558" t="s">
        <v>18</v>
      </c>
      <c r="M558" t="s">
        <v>1286</v>
      </c>
    </row>
    <row r="559" spans="2:13" x14ac:dyDescent="0.25">
      <c r="B559" t="s">
        <v>1231</v>
      </c>
      <c r="C559">
        <v>16858319</v>
      </c>
      <c r="D559" t="str">
        <f>"6914646153027"</f>
        <v>6914646153027</v>
      </c>
      <c r="E559" t="s">
        <v>1287</v>
      </c>
      <c r="F559" t="s">
        <v>277</v>
      </c>
      <c r="G559">
        <v>1</v>
      </c>
      <c r="H559" t="s">
        <v>18</v>
      </c>
      <c r="I559" t="s">
        <v>16</v>
      </c>
      <c r="J559" t="s">
        <v>360</v>
      </c>
      <c r="L559" t="s">
        <v>18</v>
      </c>
      <c r="M559" t="s">
        <v>1288</v>
      </c>
    </row>
    <row r="560" spans="2:13" x14ac:dyDescent="0.25">
      <c r="B560" t="s">
        <v>1231</v>
      </c>
      <c r="C560">
        <v>16948525</v>
      </c>
      <c r="D560" t="str">
        <f>"4260383671440"</f>
        <v>4260383671440</v>
      </c>
      <c r="E560" t="s">
        <v>1289</v>
      </c>
      <c r="F560" t="s">
        <v>48</v>
      </c>
      <c r="G560">
        <v>1</v>
      </c>
      <c r="H560" t="s">
        <v>18</v>
      </c>
      <c r="I560" t="s">
        <v>16</v>
      </c>
      <c r="J560" t="s">
        <v>1047</v>
      </c>
      <c r="L560" t="s">
        <v>18</v>
      </c>
      <c r="M560" t="s">
        <v>1290</v>
      </c>
    </row>
    <row r="561" spans="2:13" x14ac:dyDescent="0.25">
      <c r="B561" t="s">
        <v>1231</v>
      </c>
      <c r="C561">
        <v>17193611</v>
      </c>
      <c r="D561" t="str">
        <f>"8595086145834"</f>
        <v>8595086145834</v>
      </c>
      <c r="E561" t="s">
        <v>1291</v>
      </c>
      <c r="F561" t="s">
        <v>295</v>
      </c>
      <c r="G561">
        <v>1</v>
      </c>
      <c r="H561" t="s">
        <v>18</v>
      </c>
      <c r="I561" t="s">
        <v>16</v>
      </c>
      <c r="J561" t="s">
        <v>1007</v>
      </c>
      <c r="L561" t="s">
        <v>18</v>
      </c>
      <c r="M561" t="s">
        <v>1292</v>
      </c>
    </row>
    <row r="562" spans="2:13" x14ac:dyDescent="0.25">
      <c r="B562" t="s">
        <v>1231</v>
      </c>
      <c r="C562">
        <v>17365487</v>
      </c>
      <c r="D562" t="str">
        <f>"4011097738260"</f>
        <v>4011097738260</v>
      </c>
      <c r="E562" t="s">
        <v>1293</v>
      </c>
      <c r="F562" t="s">
        <v>14</v>
      </c>
      <c r="G562">
        <v>1</v>
      </c>
      <c r="H562" t="s">
        <v>18</v>
      </c>
      <c r="I562" t="s">
        <v>16</v>
      </c>
      <c r="J562" t="s">
        <v>429</v>
      </c>
      <c r="L562" t="s">
        <v>18</v>
      </c>
      <c r="M562" t="s">
        <v>1294</v>
      </c>
    </row>
    <row r="563" spans="2:13" x14ac:dyDescent="0.25">
      <c r="B563" t="s">
        <v>1231</v>
      </c>
      <c r="C563">
        <v>17405311</v>
      </c>
      <c r="D563" t="str">
        <f>"3800861051428"</f>
        <v>3800861051428</v>
      </c>
      <c r="E563" t="s">
        <v>1295</v>
      </c>
      <c r="F563" t="s">
        <v>40</v>
      </c>
      <c r="G563">
        <v>1</v>
      </c>
      <c r="H563" t="s">
        <v>18</v>
      </c>
      <c r="I563" t="s">
        <v>16</v>
      </c>
      <c r="J563" t="s">
        <v>221</v>
      </c>
      <c r="L563" t="s">
        <v>18</v>
      </c>
      <c r="M563" t="s">
        <v>1296</v>
      </c>
    </row>
    <row r="564" spans="2:13" x14ac:dyDescent="0.25">
      <c r="B564" t="s">
        <v>1231</v>
      </c>
      <c r="C564">
        <v>17405354</v>
      </c>
      <c r="D564" t="str">
        <f>"3800861051480"</f>
        <v>3800861051480</v>
      </c>
      <c r="E564" t="s">
        <v>1297</v>
      </c>
      <c r="F564" t="s">
        <v>43</v>
      </c>
      <c r="G564">
        <v>1</v>
      </c>
      <c r="H564" t="s">
        <v>18</v>
      </c>
      <c r="I564" t="s">
        <v>16</v>
      </c>
      <c r="J564" t="s">
        <v>221</v>
      </c>
      <c r="L564" t="s">
        <v>18</v>
      </c>
      <c r="M564" t="s">
        <v>1171</v>
      </c>
    </row>
    <row r="565" spans="2:13" x14ac:dyDescent="0.25">
      <c r="B565" t="s">
        <v>1231</v>
      </c>
      <c r="C565">
        <v>17794505</v>
      </c>
      <c r="D565" t="str">
        <f>"8000177243851"</f>
        <v>8000177243851</v>
      </c>
      <c r="E565" t="s">
        <v>1298</v>
      </c>
      <c r="F565" t="s">
        <v>27</v>
      </c>
      <c r="G565">
        <v>0</v>
      </c>
      <c r="H565" t="s">
        <v>18</v>
      </c>
      <c r="I565" t="s">
        <v>754</v>
      </c>
      <c r="J565" t="s">
        <v>989</v>
      </c>
      <c r="K565" s="1">
        <v>42862</v>
      </c>
      <c r="L565" t="s">
        <v>18</v>
      </c>
      <c r="M565" t="s">
        <v>1299</v>
      </c>
    </row>
    <row r="566" spans="2:13" x14ac:dyDescent="0.25">
      <c r="B566" t="s">
        <v>1231</v>
      </c>
      <c r="C566">
        <v>17843565</v>
      </c>
      <c r="D566" t="str">
        <f>"4627091396230"</f>
        <v>4627091396230</v>
      </c>
      <c r="E566" t="s">
        <v>1300</v>
      </c>
      <c r="F566" t="s">
        <v>268</v>
      </c>
      <c r="G566">
        <v>1</v>
      </c>
      <c r="H566" t="s">
        <v>18</v>
      </c>
      <c r="I566" t="s">
        <v>16</v>
      </c>
      <c r="J566" t="s">
        <v>854</v>
      </c>
      <c r="L566" t="s">
        <v>18</v>
      </c>
      <c r="M566" t="s">
        <v>1301</v>
      </c>
    </row>
    <row r="567" spans="2:13" x14ac:dyDescent="0.25">
      <c r="B567" t="s">
        <v>1231</v>
      </c>
      <c r="C567">
        <v>17843590</v>
      </c>
      <c r="D567" t="str">
        <f>"4627091396261"</f>
        <v>4627091396261</v>
      </c>
      <c r="E567" t="s">
        <v>1302</v>
      </c>
      <c r="F567" t="s">
        <v>40</v>
      </c>
      <c r="G567">
        <v>1</v>
      </c>
      <c r="H567" t="s">
        <v>18</v>
      </c>
      <c r="I567" t="s">
        <v>16</v>
      </c>
      <c r="J567" t="s">
        <v>854</v>
      </c>
      <c r="L567" t="s">
        <v>18</v>
      </c>
      <c r="M567" t="s">
        <v>1303</v>
      </c>
    </row>
    <row r="568" spans="2:13" x14ac:dyDescent="0.25">
      <c r="B568" t="s">
        <v>1231</v>
      </c>
      <c r="C568">
        <v>17882505</v>
      </c>
      <c r="D568" t="str">
        <f>"7350078200448"</f>
        <v>7350078200448</v>
      </c>
      <c r="E568" t="s">
        <v>1304</v>
      </c>
      <c r="F568" t="s">
        <v>31</v>
      </c>
      <c r="G568">
        <v>1</v>
      </c>
      <c r="H568" t="s">
        <v>18</v>
      </c>
      <c r="I568" t="s">
        <v>16</v>
      </c>
      <c r="J568" t="s">
        <v>864</v>
      </c>
      <c r="L568" t="s">
        <v>18</v>
      </c>
      <c r="M568" t="s">
        <v>1305</v>
      </c>
    </row>
    <row r="569" spans="2:13" x14ac:dyDescent="0.25">
      <c r="B569" t="s">
        <v>1231</v>
      </c>
      <c r="C569">
        <v>18079087</v>
      </c>
      <c r="D569" t="str">
        <f>"8000177253911"</f>
        <v>8000177253911</v>
      </c>
      <c r="E569" t="s">
        <v>1306</v>
      </c>
      <c r="F569" t="s">
        <v>31</v>
      </c>
      <c r="G569">
        <v>0</v>
      </c>
      <c r="H569" t="s">
        <v>18</v>
      </c>
      <c r="I569" t="s">
        <v>754</v>
      </c>
      <c r="J569" t="s">
        <v>989</v>
      </c>
      <c r="K569" s="1">
        <v>42862</v>
      </c>
      <c r="L569" t="s">
        <v>18</v>
      </c>
      <c r="M569" t="s">
        <v>1307</v>
      </c>
    </row>
    <row r="570" spans="2:13" x14ac:dyDescent="0.25">
      <c r="B570" t="s">
        <v>1231</v>
      </c>
      <c r="C570">
        <v>18079124</v>
      </c>
      <c r="D570" t="str">
        <f>"8000177253959"</f>
        <v>8000177253959</v>
      </c>
      <c r="E570" t="s">
        <v>1308</v>
      </c>
      <c r="F570" t="s">
        <v>48</v>
      </c>
      <c r="G570">
        <v>1</v>
      </c>
      <c r="H570" t="s">
        <v>18</v>
      </c>
      <c r="I570" t="s">
        <v>51</v>
      </c>
      <c r="J570" t="s">
        <v>989</v>
      </c>
      <c r="L570" t="s">
        <v>18</v>
      </c>
      <c r="M570" t="s">
        <v>1309</v>
      </c>
    </row>
    <row r="571" spans="2:13" x14ac:dyDescent="0.25">
      <c r="B571" t="s">
        <v>1231</v>
      </c>
      <c r="C571">
        <v>18079167</v>
      </c>
      <c r="D571" t="str">
        <f>"8000177255038"</f>
        <v>8000177255038</v>
      </c>
      <c r="E571" t="s">
        <v>1310</v>
      </c>
      <c r="F571" t="s">
        <v>43</v>
      </c>
      <c r="G571">
        <v>1</v>
      </c>
      <c r="H571" t="s">
        <v>18</v>
      </c>
      <c r="I571" t="s">
        <v>16</v>
      </c>
      <c r="J571" t="s">
        <v>989</v>
      </c>
      <c r="L571" t="s">
        <v>18</v>
      </c>
      <c r="M571" t="s">
        <v>1311</v>
      </c>
    </row>
    <row r="572" spans="2:13" x14ac:dyDescent="0.25">
      <c r="B572" t="s">
        <v>1231</v>
      </c>
      <c r="C572">
        <v>18217734</v>
      </c>
      <c r="D572" t="str">
        <f>"4627091397794"</f>
        <v>4627091397794</v>
      </c>
      <c r="E572" t="s">
        <v>1312</v>
      </c>
      <c r="F572" t="s">
        <v>170</v>
      </c>
      <c r="G572">
        <v>1</v>
      </c>
      <c r="H572" t="s">
        <v>18</v>
      </c>
      <c r="I572" t="s">
        <v>16</v>
      </c>
      <c r="J572" t="s">
        <v>854</v>
      </c>
      <c r="L572" t="s">
        <v>18</v>
      </c>
      <c r="M572" t="s">
        <v>1313</v>
      </c>
    </row>
    <row r="573" spans="2:13" x14ac:dyDescent="0.25">
      <c r="B573" t="s">
        <v>1231</v>
      </c>
      <c r="C573">
        <v>18301830</v>
      </c>
      <c r="D573" t="str">
        <f>"4005176334917"</f>
        <v>4005176334917</v>
      </c>
      <c r="E573" t="s">
        <v>1314</v>
      </c>
      <c r="F573" t="s">
        <v>242</v>
      </c>
      <c r="G573">
        <v>1</v>
      </c>
      <c r="H573" t="s">
        <v>18</v>
      </c>
      <c r="I573" t="s">
        <v>16</v>
      </c>
      <c r="J573" t="s">
        <v>426</v>
      </c>
      <c r="L573" t="s">
        <v>18</v>
      </c>
      <c r="M573" t="s">
        <v>1315</v>
      </c>
    </row>
    <row r="574" spans="2:13" x14ac:dyDescent="0.25">
      <c r="B574" t="s">
        <v>1231</v>
      </c>
      <c r="C574">
        <v>18555320</v>
      </c>
      <c r="D574" t="str">
        <f>"4051343039598"</f>
        <v>4051343039598</v>
      </c>
      <c r="E574" t="s">
        <v>1316</v>
      </c>
      <c r="F574" t="s">
        <v>1317</v>
      </c>
      <c r="G574">
        <v>1</v>
      </c>
      <c r="H574" t="s">
        <v>18</v>
      </c>
      <c r="I574" t="s">
        <v>16</v>
      </c>
      <c r="J574" t="s">
        <v>52</v>
      </c>
      <c r="L574" t="s">
        <v>18</v>
      </c>
      <c r="M574" t="s">
        <v>1318</v>
      </c>
    </row>
    <row r="575" spans="2:13" x14ac:dyDescent="0.25">
      <c r="B575" t="s">
        <v>1231</v>
      </c>
      <c r="C575">
        <v>18597010</v>
      </c>
      <c r="D575" t="str">
        <f>"6944658700476"</f>
        <v>6944658700476</v>
      </c>
      <c r="E575" t="s">
        <v>1319</v>
      </c>
      <c r="F575" t="s">
        <v>242</v>
      </c>
      <c r="G575">
        <v>1</v>
      </c>
      <c r="H575" t="s">
        <v>18</v>
      </c>
      <c r="I575" t="s">
        <v>16</v>
      </c>
      <c r="J575" t="s">
        <v>333</v>
      </c>
      <c r="L575" t="s">
        <v>18</v>
      </c>
      <c r="M575" t="s">
        <v>1320</v>
      </c>
    </row>
    <row r="576" spans="2:13" x14ac:dyDescent="0.25">
      <c r="B576" t="s">
        <v>1231</v>
      </c>
      <c r="C576">
        <v>18624911</v>
      </c>
      <c r="D576" t="str">
        <f>"4011097834405"</f>
        <v>4011097834405</v>
      </c>
      <c r="E576" t="s">
        <v>1321</v>
      </c>
      <c r="F576" t="s">
        <v>194</v>
      </c>
      <c r="G576">
        <v>1</v>
      </c>
      <c r="H576" t="s">
        <v>18</v>
      </c>
      <c r="I576" t="s">
        <v>51</v>
      </c>
      <c r="J576" t="s">
        <v>429</v>
      </c>
      <c r="L576" t="s">
        <v>18</v>
      </c>
      <c r="M576" t="s">
        <v>1322</v>
      </c>
    </row>
    <row r="577" spans="2:13" x14ac:dyDescent="0.25">
      <c r="B577" t="s">
        <v>1323</v>
      </c>
      <c r="C577">
        <v>12788077</v>
      </c>
      <c r="D577" t="str">
        <f>"4011097470542"</f>
        <v>4011097470542</v>
      </c>
      <c r="E577" t="s">
        <v>1324</v>
      </c>
      <c r="F577" t="s">
        <v>14</v>
      </c>
      <c r="G577">
        <v>0</v>
      </c>
      <c r="H577" t="s">
        <v>18</v>
      </c>
      <c r="I577" t="s">
        <v>754</v>
      </c>
      <c r="J577" t="s">
        <v>429</v>
      </c>
      <c r="K577" s="1">
        <v>42863</v>
      </c>
      <c r="L577" t="s">
        <v>18</v>
      </c>
      <c r="M577" t="s">
        <v>1325</v>
      </c>
    </row>
    <row r="578" spans="2:13" x14ac:dyDescent="0.25">
      <c r="B578" t="s">
        <v>1323</v>
      </c>
      <c r="C578">
        <v>12824170</v>
      </c>
      <c r="D578" t="str">
        <f>"4011097633428"</f>
        <v>4011097633428</v>
      </c>
      <c r="E578" t="s">
        <v>1326</v>
      </c>
      <c r="F578" t="s">
        <v>31</v>
      </c>
      <c r="G578">
        <v>1</v>
      </c>
      <c r="H578" t="s">
        <v>18</v>
      </c>
      <c r="I578" t="s">
        <v>16</v>
      </c>
      <c r="J578" t="s">
        <v>429</v>
      </c>
      <c r="L578" t="s">
        <v>18</v>
      </c>
      <c r="M578" t="s">
        <v>1327</v>
      </c>
    </row>
    <row r="579" spans="2:13" x14ac:dyDescent="0.25">
      <c r="B579" t="s">
        <v>1323</v>
      </c>
      <c r="C579">
        <v>12995383</v>
      </c>
      <c r="D579" t="str">
        <f>"4051343033121"</f>
        <v>4051343033121</v>
      </c>
      <c r="E579" t="s">
        <v>1328</v>
      </c>
      <c r="F579" t="s">
        <v>14</v>
      </c>
      <c r="G579">
        <v>1</v>
      </c>
      <c r="H579" t="s">
        <v>18</v>
      </c>
      <c r="I579" t="s">
        <v>16</v>
      </c>
      <c r="J579" t="s">
        <v>52</v>
      </c>
      <c r="K579" s="1">
        <v>42925</v>
      </c>
      <c r="L579" t="s">
        <v>18</v>
      </c>
      <c r="M579" t="s">
        <v>1329</v>
      </c>
    </row>
    <row r="580" spans="2:13" x14ac:dyDescent="0.25">
      <c r="B580" t="s">
        <v>1323</v>
      </c>
      <c r="C580">
        <v>13047887</v>
      </c>
      <c r="D580" t="str">
        <f>"3276004820235"</f>
        <v>3276004820235</v>
      </c>
      <c r="E580" t="s">
        <v>1330</v>
      </c>
      <c r="F580" t="s">
        <v>14</v>
      </c>
      <c r="G580">
        <v>1</v>
      </c>
      <c r="H580" t="s">
        <v>18</v>
      </c>
      <c r="I580" t="s">
        <v>16</v>
      </c>
      <c r="J580" t="s">
        <v>17</v>
      </c>
      <c r="L580" t="s">
        <v>18</v>
      </c>
      <c r="M580" t="s">
        <v>1331</v>
      </c>
    </row>
    <row r="581" spans="2:13" x14ac:dyDescent="0.25">
      <c r="B581" t="s">
        <v>1323</v>
      </c>
      <c r="C581">
        <v>13048329</v>
      </c>
      <c r="D581" t="str">
        <f>"3276200353667"</f>
        <v>3276200353667</v>
      </c>
      <c r="E581" t="s">
        <v>1332</v>
      </c>
      <c r="F581" t="s">
        <v>60</v>
      </c>
      <c r="G581">
        <v>1</v>
      </c>
      <c r="H581" t="s">
        <v>18</v>
      </c>
      <c r="I581" t="s">
        <v>16</v>
      </c>
      <c r="J581" t="s">
        <v>17</v>
      </c>
      <c r="L581" t="s">
        <v>18</v>
      </c>
      <c r="M581" t="s">
        <v>1333</v>
      </c>
    </row>
    <row r="582" spans="2:13" x14ac:dyDescent="0.25">
      <c r="B582" t="s">
        <v>1323</v>
      </c>
      <c r="C582">
        <v>13120861</v>
      </c>
      <c r="D582" t="str">
        <f>"4011097480695"</f>
        <v>4011097480695</v>
      </c>
      <c r="E582" t="s">
        <v>1334</v>
      </c>
      <c r="F582" t="s">
        <v>14</v>
      </c>
      <c r="G582">
        <v>1</v>
      </c>
      <c r="H582" t="s">
        <v>18</v>
      </c>
      <c r="I582" t="s">
        <v>16</v>
      </c>
      <c r="J582" t="s">
        <v>429</v>
      </c>
      <c r="L582" t="s">
        <v>18</v>
      </c>
      <c r="M582" t="s">
        <v>1335</v>
      </c>
    </row>
    <row r="583" spans="2:13" x14ac:dyDescent="0.25">
      <c r="B583" t="s">
        <v>1323</v>
      </c>
      <c r="C583">
        <v>14006243</v>
      </c>
      <c r="D583" t="str">
        <f>"4051343026208"</f>
        <v>4051343026208</v>
      </c>
      <c r="E583" t="s">
        <v>1336</v>
      </c>
      <c r="F583" t="s">
        <v>14</v>
      </c>
      <c r="G583">
        <v>1</v>
      </c>
      <c r="H583" t="s">
        <v>18</v>
      </c>
      <c r="I583" t="s">
        <v>16</v>
      </c>
      <c r="J583" t="s">
        <v>52</v>
      </c>
      <c r="K583" s="1">
        <v>42925</v>
      </c>
      <c r="L583" t="s">
        <v>18</v>
      </c>
      <c r="M583" t="s">
        <v>1337</v>
      </c>
    </row>
    <row r="584" spans="2:13" x14ac:dyDescent="0.25">
      <c r="B584" t="s">
        <v>1323</v>
      </c>
      <c r="C584">
        <v>14251337</v>
      </c>
      <c r="D584" t="str">
        <f>"3276004827012"</f>
        <v>3276004827012</v>
      </c>
      <c r="E584" t="s">
        <v>1338</v>
      </c>
      <c r="F584" t="s">
        <v>165</v>
      </c>
      <c r="G584">
        <v>1</v>
      </c>
      <c r="H584" t="s">
        <v>18</v>
      </c>
      <c r="I584" t="s">
        <v>16</v>
      </c>
      <c r="J584" t="s">
        <v>17</v>
      </c>
      <c r="L584" t="s">
        <v>18</v>
      </c>
      <c r="M584" t="s">
        <v>1339</v>
      </c>
    </row>
    <row r="585" spans="2:13" x14ac:dyDescent="0.25">
      <c r="B585" t="s">
        <v>1323</v>
      </c>
      <c r="C585">
        <v>14276614</v>
      </c>
      <c r="D585" t="str">
        <f>"8595593000213"</f>
        <v>8595593000213</v>
      </c>
      <c r="E585" t="s">
        <v>1340</v>
      </c>
      <c r="F585" t="s">
        <v>48</v>
      </c>
      <c r="G585">
        <v>0</v>
      </c>
      <c r="H585" t="s">
        <v>18</v>
      </c>
      <c r="I585" t="s">
        <v>754</v>
      </c>
      <c r="J585" t="s">
        <v>1150</v>
      </c>
      <c r="K585" s="1">
        <v>42863</v>
      </c>
      <c r="L585" t="s">
        <v>18</v>
      </c>
      <c r="M585" t="s">
        <v>1341</v>
      </c>
    </row>
    <row r="586" spans="2:13" x14ac:dyDescent="0.25">
      <c r="B586" t="s">
        <v>1323</v>
      </c>
      <c r="C586">
        <v>14277369</v>
      </c>
      <c r="D586" t="str">
        <f>"6914646118408"</f>
        <v>6914646118408</v>
      </c>
      <c r="E586" t="s">
        <v>1342</v>
      </c>
      <c r="F586" t="s">
        <v>24</v>
      </c>
      <c r="G586">
        <v>1</v>
      </c>
      <c r="H586" t="s">
        <v>18</v>
      </c>
      <c r="I586" t="s">
        <v>16</v>
      </c>
      <c r="J586" t="s">
        <v>360</v>
      </c>
      <c r="L586" t="s">
        <v>18</v>
      </c>
      <c r="M586" t="s">
        <v>1343</v>
      </c>
    </row>
    <row r="587" spans="2:13" x14ac:dyDescent="0.25">
      <c r="B587" t="s">
        <v>1323</v>
      </c>
      <c r="C587">
        <v>14277393</v>
      </c>
      <c r="D587" t="str">
        <f>"9008545372034"</f>
        <v>9008545372034</v>
      </c>
      <c r="E587" t="s">
        <v>1344</v>
      </c>
      <c r="F587" t="s">
        <v>48</v>
      </c>
      <c r="G587">
        <v>1</v>
      </c>
      <c r="H587" t="s">
        <v>18</v>
      </c>
      <c r="I587" t="s">
        <v>16</v>
      </c>
      <c r="J587" t="s">
        <v>360</v>
      </c>
      <c r="L587" t="s">
        <v>18</v>
      </c>
      <c r="M587" t="s">
        <v>1345</v>
      </c>
    </row>
    <row r="588" spans="2:13" x14ac:dyDescent="0.25">
      <c r="B588" t="s">
        <v>1323</v>
      </c>
      <c r="C588">
        <v>14277422</v>
      </c>
      <c r="D588" t="str">
        <f>"9008545415038"</f>
        <v>9008545415038</v>
      </c>
      <c r="E588" t="s">
        <v>1346</v>
      </c>
      <c r="F588" t="s">
        <v>27</v>
      </c>
      <c r="G588">
        <v>1</v>
      </c>
      <c r="H588" t="s">
        <v>18</v>
      </c>
      <c r="I588" t="s">
        <v>16</v>
      </c>
      <c r="J588" t="s">
        <v>360</v>
      </c>
      <c r="L588" t="s">
        <v>18</v>
      </c>
      <c r="M588" t="s">
        <v>1347</v>
      </c>
    </row>
    <row r="589" spans="2:13" x14ac:dyDescent="0.25">
      <c r="B589" t="s">
        <v>1323</v>
      </c>
      <c r="C589">
        <v>14349650</v>
      </c>
      <c r="D589" t="str">
        <f>"4051343035194"</f>
        <v>4051343035194</v>
      </c>
      <c r="E589" t="s">
        <v>1348</v>
      </c>
      <c r="F589" t="s">
        <v>48</v>
      </c>
      <c r="G589">
        <v>1</v>
      </c>
      <c r="H589" t="s">
        <v>18</v>
      </c>
      <c r="I589" t="s">
        <v>16</v>
      </c>
      <c r="J589" t="s">
        <v>52</v>
      </c>
      <c r="K589" s="1">
        <v>42925</v>
      </c>
      <c r="L589" t="s">
        <v>18</v>
      </c>
      <c r="M589" t="s">
        <v>1349</v>
      </c>
    </row>
    <row r="590" spans="2:13" x14ac:dyDescent="0.25">
      <c r="B590" t="s">
        <v>1323</v>
      </c>
      <c r="C590">
        <v>15094601</v>
      </c>
      <c r="D590" t="str">
        <f>"4005176874420"</f>
        <v>4005176874420</v>
      </c>
      <c r="E590" t="s">
        <v>1350</v>
      </c>
      <c r="F590" t="s">
        <v>109</v>
      </c>
      <c r="G590">
        <v>1</v>
      </c>
      <c r="H590" t="s">
        <v>18</v>
      </c>
      <c r="I590" t="s">
        <v>51</v>
      </c>
      <c r="J590" t="s">
        <v>426</v>
      </c>
      <c r="L590" t="s">
        <v>18</v>
      </c>
      <c r="M590" t="s">
        <v>1351</v>
      </c>
    </row>
    <row r="591" spans="2:13" x14ac:dyDescent="0.25">
      <c r="B591" t="s">
        <v>1323</v>
      </c>
      <c r="C591">
        <v>15610557</v>
      </c>
      <c r="D591" t="str">
        <f>"3276005415843"</f>
        <v>3276005415843</v>
      </c>
      <c r="E591" t="s">
        <v>1352</v>
      </c>
      <c r="F591" t="s">
        <v>48</v>
      </c>
      <c r="G591">
        <v>1</v>
      </c>
      <c r="H591" t="s">
        <v>18</v>
      </c>
      <c r="I591" t="s">
        <v>16</v>
      </c>
      <c r="J591" t="s">
        <v>17</v>
      </c>
      <c r="L591" t="s">
        <v>18</v>
      </c>
      <c r="M591" t="s">
        <v>1353</v>
      </c>
    </row>
    <row r="592" spans="2:13" x14ac:dyDescent="0.25">
      <c r="B592" t="s">
        <v>1323</v>
      </c>
      <c r="C592">
        <v>15610581</v>
      </c>
      <c r="D592" t="str">
        <f>"3276005415751"</f>
        <v>3276005415751</v>
      </c>
      <c r="E592" t="s">
        <v>1354</v>
      </c>
      <c r="F592" t="s">
        <v>413</v>
      </c>
      <c r="G592">
        <v>1</v>
      </c>
      <c r="H592" t="s">
        <v>18</v>
      </c>
      <c r="I592" t="s">
        <v>16</v>
      </c>
      <c r="J592" t="s">
        <v>17</v>
      </c>
      <c r="L592" t="s">
        <v>18</v>
      </c>
      <c r="M592" t="s">
        <v>1355</v>
      </c>
    </row>
    <row r="593" spans="2:13" x14ac:dyDescent="0.25">
      <c r="B593" t="s">
        <v>1323</v>
      </c>
      <c r="C593">
        <v>15695378</v>
      </c>
      <c r="D593" t="str">
        <f>"5708516981015"</f>
        <v>5708516981015</v>
      </c>
      <c r="E593" t="s">
        <v>1356</v>
      </c>
      <c r="F593" t="s">
        <v>24</v>
      </c>
      <c r="G593">
        <v>1</v>
      </c>
      <c r="H593" t="s">
        <v>18</v>
      </c>
      <c r="I593" t="s">
        <v>16</v>
      </c>
      <c r="J593" t="s">
        <v>826</v>
      </c>
      <c r="K593" s="1">
        <v>42962</v>
      </c>
      <c r="L593" t="s">
        <v>18</v>
      </c>
      <c r="M593" t="s">
        <v>1357</v>
      </c>
    </row>
    <row r="594" spans="2:13" x14ac:dyDescent="0.25">
      <c r="B594" t="s">
        <v>1323</v>
      </c>
      <c r="C594">
        <v>16423420</v>
      </c>
      <c r="D594" t="str">
        <f>"3800861053118"</f>
        <v>3800861053118</v>
      </c>
      <c r="E594" t="s">
        <v>1358</v>
      </c>
      <c r="F594" t="s">
        <v>40</v>
      </c>
      <c r="G594">
        <v>1</v>
      </c>
      <c r="H594" t="s">
        <v>18</v>
      </c>
      <c r="I594" t="s">
        <v>16</v>
      </c>
      <c r="J594" t="s">
        <v>221</v>
      </c>
      <c r="L594" t="s">
        <v>18</v>
      </c>
      <c r="M594" t="s">
        <v>1359</v>
      </c>
    </row>
    <row r="595" spans="2:13" x14ac:dyDescent="0.25">
      <c r="B595" t="s">
        <v>1323</v>
      </c>
      <c r="C595">
        <v>16732610</v>
      </c>
      <c r="D595" t="str">
        <f>"2000167326102"</f>
        <v>2000167326102</v>
      </c>
      <c r="E595" t="s">
        <v>1360</v>
      </c>
      <c r="F595" t="s">
        <v>14</v>
      </c>
      <c r="G595">
        <v>0</v>
      </c>
      <c r="H595" t="s">
        <v>18</v>
      </c>
      <c r="I595" t="s">
        <v>754</v>
      </c>
      <c r="J595" t="s">
        <v>1047</v>
      </c>
      <c r="K595" s="1">
        <v>42862</v>
      </c>
      <c r="L595" t="s">
        <v>18</v>
      </c>
      <c r="M595" t="s">
        <v>885</v>
      </c>
    </row>
    <row r="596" spans="2:13" x14ac:dyDescent="0.25">
      <c r="B596" t="s">
        <v>1323</v>
      </c>
      <c r="C596">
        <v>16858327</v>
      </c>
      <c r="D596" t="str">
        <f>"6914646153041"</f>
        <v>6914646153041</v>
      </c>
      <c r="E596" t="s">
        <v>1361</v>
      </c>
      <c r="F596" t="s">
        <v>34</v>
      </c>
      <c r="G596">
        <v>1</v>
      </c>
      <c r="H596" t="s">
        <v>18</v>
      </c>
      <c r="I596" t="s">
        <v>16</v>
      </c>
      <c r="J596" t="s">
        <v>360</v>
      </c>
      <c r="L596" t="s">
        <v>18</v>
      </c>
      <c r="M596" t="s">
        <v>1362</v>
      </c>
    </row>
    <row r="597" spans="2:13" x14ac:dyDescent="0.25">
      <c r="B597" t="s">
        <v>1323</v>
      </c>
      <c r="C597">
        <v>17365495</v>
      </c>
      <c r="D597" t="str">
        <f>"4011097737799"</f>
        <v>4011097737799</v>
      </c>
      <c r="E597" t="s">
        <v>1363</v>
      </c>
      <c r="F597" t="s">
        <v>14</v>
      </c>
      <c r="G597">
        <v>1</v>
      </c>
      <c r="H597" t="s">
        <v>18</v>
      </c>
      <c r="I597" t="s">
        <v>16</v>
      </c>
      <c r="J597" t="s">
        <v>429</v>
      </c>
      <c r="L597" t="s">
        <v>18</v>
      </c>
      <c r="M597" t="s">
        <v>58</v>
      </c>
    </row>
    <row r="598" spans="2:13" x14ac:dyDescent="0.25">
      <c r="B598" t="s">
        <v>1323</v>
      </c>
      <c r="C598">
        <v>17794513</v>
      </c>
      <c r="D598" t="str">
        <f>"8000177243868"</f>
        <v>8000177243868</v>
      </c>
      <c r="E598" t="s">
        <v>1364</v>
      </c>
      <c r="F598" t="s">
        <v>14</v>
      </c>
      <c r="G598">
        <v>0</v>
      </c>
      <c r="H598" t="s">
        <v>18</v>
      </c>
      <c r="I598" t="s">
        <v>754</v>
      </c>
      <c r="J598" t="s">
        <v>989</v>
      </c>
      <c r="K598" s="1">
        <v>42862</v>
      </c>
      <c r="L598" t="s">
        <v>18</v>
      </c>
      <c r="M598" t="s">
        <v>1365</v>
      </c>
    </row>
    <row r="599" spans="2:13" x14ac:dyDescent="0.25">
      <c r="B599" t="s">
        <v>1323</v>
      </c>
      <c r="C599">
        <v>17843573</v>
      </c>
      <c r="D599" t="str">
        <f>"4627091396247"</f>
        <v>4627091396247</v>
      </c>
      <c r="E599" t="s">
        <v>1366</v>
      </c>
      <c r="F599" t="s">
        <v>43</v>
      </c>
      <c r="G599">
        <v>1</v>
      </c>
      <c r="H599" t="s">
        <v>18</v>
      </c>
      <c r="I599" t="s">
        <v>16</v>
      </c>
      <c r="J599" t="s">
        <v>854</v>
      </c>
      <c r="L599" t="s">
        <v>18</v>
      </c>
      <c r="M599" t="s">
        <v>1367</v>
      </c>
    </row>
    <row r="600" spans="2:13" x14ac:dyDescent="0.25">
      <c r="B600" t="s">
        <v>1323</v>
      </c>
      <c r="C600">
        <v>17843602</v>
      </c>
      <c r="D600" t="str">
        <f>"4627091396278"</f>
        <v>4627091396278</v>
      </c>
      <c r="E600" t="s">
        <v>1368</v>
      </c>
      <c r="F600" t="s">
        <v>285</v>
      </c>
      <c r="G600">
        <v>1</v>
      </c>
      <c r="H600" t="s">
        <v>18</v>
      </c>
      <c r="I600" t="s">
        <v>16</v>
      </c>
      <c r="J600" t="s">
        <v>854</v>
      </c>
      <c r="L600" t="s">
        <v>18</v>
      </c>
      <c r="M600" t="s">
        <v>1369</v>
      </c>
    </row>
    <row r="601" spans="2:13" x14ac:dyDescent="0.25">
      <c r="B601" t="s">
        <v>1323</v>
      </c>
      <c r="C601">
        <v>17882492</v>
      </c>
      <c r="D601" t="str">
        <f>"7350078200431"</f>
        <v>7350078200431</v>
      </c>
      <c r="E601" t="s">
        <v>1370</v>
      </c>
      <c r="F601" t="s">
        <v>27</v>
      </c>
      <c r="G601">
        <v>1</v>
      </c>
      <c r="H601" t="s">
        <v>18</v>
      </c>
      <c r="I601" t="s">
        <v>51</v>
      </c>
      <c r="J601" t="s">
        <v>864</v>
      </c>
      <c r="L601" t="s">
        <v>18</v>
      </c>
      <c r="M601" t="s">
        <v>1371</v>
      </c>
    </row>
    <row r="602" spans="2:13" x14ac:dyDescent="0.25">
      <c r="B602" t="s">
        <v>1323</v>
      </c>
      <c r="C602">
        <v>18079095</v>
      </c>
      <c r="D602" t="str">
        <f>"8000177253935"</f>
        <v>8000177253935</v>
      </c>
      <c r="E602" t="s">
        <v>1372</v>
      </c>
      <c r="F602" t="s">
        <v>14</v>
      </c>
      <c r="G602">
        <v>0</v>
      </c>
      <c r="H602" t="s">
        <v>18</v>
      </c>
      <c r="I602" t="s">
        <v>754</v>
      </c>
      <c r="J602" t="s">
        <v>989</v>
      </c>
      <c r="K602" s="1">
        <v>42862</v>
      </c>
      <c r="L602" t="s">
        <v>18</v>
      </c>
      <c r="M602" t="s">
        <v>1373</v>
      </c>
    </row>
    <row r="603" spans="2:13" x14ac:dyDescent="0.25">
      <c r="B603" t="s">
        <v>1323</v>
      </c>
      <c r="C603">
        <v>18079132</v>
      </c>
      <c r="D603" t="str">
        <f>"8000177253973"</f>
        <v>8000177253973</v>
      </c>
      <c r="E603" t="s">
        <v>1374</v>
      </c>
      <c r="F603" t="s">
        <v>14</v>
      </c>
      <c r="G603">
        <v>0</v>
      </c>
      <c r="H603" t="s">
        <v>18</v>
      </c>
      <c r="I603" t="s">
        <v>754</v>
      </c>
      <c r="J603" t="s">
        <v>989</v>
      </c>
      <c r="K603" s="1">
        <v>42862</v>
      </c>
      <c r="L603" t="s">
        <v>18</v>
      </c>
      <c r="M603" t="s">
        <v>1375</v>
      </c>
    </row>
    <row r="604" spans="2:13" x14ac:dyDescent="0.25">
      <c r="B604" t="s">
        <v>1323</v>
      </c>
      <c r="C604">
        <v>18079175</v>
      </c>
      <c r="D604" t="str">
        <f>"8000177255045"</f>
        <v>8000177255045</v>
      </c>
      <c r="E604" t="s">
        <v>1376</v>
      </c>
      <c r="F604" t="s">
        <v>14</v>
      </c>
      <c r="G604">
        <v>0</v>
      </c>
      <c r="H604" t="s">
        <v>18</v>
      </c>
      <c r="I604" t="s">
        <v>754</v>
      </c>
      <c r="J604" t="s">
        <v>989</v>
      </c>
      <c r="K604" s="1">
        <v>42862</v>
      </c>
      <c r="L604" t="s">
        <v>18</v>
      </c>
      <c r="M604" t="s">
        <v>1377</v>
      </c>
    </row>
    <row r="605" spans="2:13" x14ac:dyDescent="0.25">
      <c r="B605" t="s">
        <v>1323</v>
      </c>
      <c r="C605">
        <v>18217742</v>
      </c>
      <c r="D605" t="str">
        <f>"4627091397770"</f>
        <v>4627091397770</v>
      </c>
      <c r="E605" t="s">
        <v>1378</v>
      </c>
      <c r="F605" t="s">
        <v>1379</v>
      </c>
      <c r="G605">
        <v>1</v>
      </c>
      <c r="H605" t="s">
        <v>18</v>
      </c>
      <c r="I605" t="s">
        <v>16</v>
      </c>
      <c r="J605" t="s">
        <v>854</v>
      </c>
      <c r="L605" t="s">
        <v>18</v>
      </c>
      <c r="M605" t="s">
        <v>1380</v>
      </c>
    </row>
    <row r="606" spans="2:13" x14ac:dyDescent="0.25">
      <c r="B606" t="s">
        <v>1381</v>
      </c>
      <c r="C606">
        <v>12824082</v>
      </c>
      <c r="D606" t="str">
        <f>"4011097633411"</f>
        <v>4011097633411</v>
      </c>
      <c r="E606" t="s">
        <v>1382</v>
      </c>
      <c r="F606" t="s">
        <v>40</v>
      </c>
      <c r="G606">
        <v>1</v>
      </c>
      <c r="H606" t="s">
        <v>18</v>
      </c>
      <c r="I606" t="s">
        <v>16</v>
      </c>
      <c r="J606" t="s">
        <v>429</v>
      </c>
      <c r="L606" t="s">
        <v>18</v>
      </c>
      <c r="M606" t="s">
        <v>1327</v>
      </c>
    </row>
    <row r="607" spans="2:13" x14ac:dyDescent="0.25">
      <c r="B607" t="s">
        <v>1383</v>
      </c>
      <c r="C607">
        <v>13048353</v>
      </c>
      <c r="D607" t="str">
        <f>"3276200353636"</f>
        <v>3276200353636</v>
      </c>
      <c r="E607" t="s">
        <v>1384</v>
      </c>
      <c r="F607" t="s">
        <v>227</v>
      </c>
      <c r="G607">
        <v>1</v>
      </c>
      <c r="H607" t="s">
        <v>18</v>
      </c>
      <c r="I607" t="s">
        <v>16</v>
      </c>
      <c r="J607" t="s">
        <v>17</v>
      </c>
      <c r="L607" t="s">
        <v>18</v>
      </c>
      <c r="M607" t="s">
        <v>1385</v>
      </c>
    </row>
    <row r="608" spans="2:13" x14ac:dyDescent="0.25">
      <c r="B608" t="s">
        <v>1386</v>
      </c>
      <c r="C608">
        <v>13048388</v>
      </c>
      <c r="D608" t="str">
        <f>"3276200353728"</f>
        <v>3276200353728</v>
      </c>
      <c r="E608" t="s">
        <v>1387</v>
      </c>
      <c r="F608" t="s">
        <v>285</v>
      </c>
      <c r="G608">
        <v>1</v>
      </c>
      <c r="H608" t="s">
        <v>18</v>
      </c>
      <c r="I608" t="s">
        <v>16</v>
      </c>
      <c r="J608" t="s">
        <v>17</v>
      </c>
      <c r="L608" t="s">
        <v>18</v>
      </c>
      <c r="M608" t="s">
        <v>1388</v>
      </c>
    </row>
    <row r="609" spans="2:13" x14ac:dyDescent="0.25">
      <c r="B609" t="s">
        <v>1389</v>
      </c>
      <c r="C609">
        <v>13443070</v>
      </c>
      <c r="D609" t="str">
        <f>"4610006680975"</f>
        <v>4610006680975</v>
      </c>
      <c r="E609" t="s">
        <v>1390</v>
      </c>
      <c r="F609" t="s">
        <v>1391</v>
      </c>
      <c r="G609">
        <v>1</v>
      </c>
      <c r="H609" t="s">
        <v>18</v>
      </c>
      <c r="I609" t="s">
        <v>16</v>
      </c>
      <c r="J609" t="s">
        <v>748</v>
      </c>
      <c r="L609" t="s">
        <v>18</v>
      </c>
      <c r="M609" t="s">
        <v>1392</v>
      </c>
    </row>
    <row r="610" spans="2:13" x14ac:dyDescent="0.25">
      <c r="B610" t="s">
        <v>1389</v>
      </c>
      <c r="C610">
        <v>14165009</v>
      </c>
      <c r="D610" t="str">
        <f>"4610006683389"</f>
        <v>4610006683389</v>
      </c>
      <c r="E610" t="s">
        <v>1393</v>
      </c>
      <c r="F610" t="s">
        <v>971</v>
      </c>
      <c r="G610">
        <v>1</v>
      </c>
      <c r="H610" t="s">
        <v>18</v>
      </c>
      <c r="I610" t="s">
        <v>16</v>
      </c>
      <c r="J610" t="s">
        <v>748</v>
      </c>
      <c r="L610" t="s">
        <v>18</v>
      </c>
      <c r="M610" t="s">
        <v>616</v>
      </c>
    </row>
    <row r="611" spans="2:13" x14ac:dyDescent="0.25">
      <c r="B611" t="s">
        <v>1389</v>
      </c>
      <c r="C611">
        <v>16110319</v>
      </c>
      <c r="D611" t="str">
        <f>"3276005568914"</f>
        <v>3276005568914</v>
      </c>
      <c r="E611" t="s">
        <v>1394</v>
      </c>
      <c r="F611" t="s">
        <v>649</v>
      </c>
      <c r="G611">
        <v>1</v>
      </c>
      <c r="H611" t="s">
        <v>18</v>
      </c>
      <c r="I611" t="s">
        <v>16</v>
      </c>
      <c r="J611" t="s">
        <v>28</v>
      </c>
      <c r="L611" t="s">
        <v>18</v>
      </c>
      <c r="M611" t="s">
        <v>1395</v>
      </c>
    </row>
    <row r="612" spans="2:13" x14ac:dyDescent="0.25">
      <c r="B612" t="s">
        <v>1389</v>
      </c>
      <c r="C612">
        <v>16422304</v>
      </c>
      <c r="D612" t="str">
        <f>"3276000268970"</f>
        <v>3276000268970</v>
      </c>
      <c r="E612" t="s">
        <v>1396</v>
      </c>
      <c r="F612" t="s">
        <v>1397</v>
      </c>
      <c r="G612">
        <v>1</v>
      </c>
      <c r="H612" t="s">
        <v>18</v>
      </c>
      <c r="I612" t="s">
        <v>16</v>
      </c>
      <c r="J612" t="s">
        <v>17</v>
      </c>
      <c r="L612" t="s">
        <v>18</v>
      </c>
      <c r="M612" t="s">
        <v>1398</v>
      </c>
    </row>
    <row r="613" spans="2:13" x14ac:dyDescent="0.25">
      <c r="B613" t="s">
        <v>1389</v>
      </c>
      <c r="C613">
        <v>18217726</v>
      </c>
      <c r="D613" t="str">
        <f>"4627112611113"</f>
        <v>4627112611113</v>
      </c>
      <c r="E613" t="s">
        <v>1399</v>
      </c>
      <c r="F613" t="s">
        <v>410</v>
      </c>
      <c r="G613">
        <v>1</v>
      </c>
      <c r="H613" t="s">
        <v>18</v>
      </c>
      <c r="I613" t="s">
        <v>16</v>
      </c>
      <c r="J613" t="s">
        <v>892</v>
      </c>
      <c r="L613" t="s">
        <v>18</v>
      </c>
      <c r="M613" t="s">
        <v>1400</v>
      </c>
    </row>
    <row r="614" spans="2:13" x14ac:dyDescent="0.25">
      <c r="B614" t="s">
        <v>1389</v>
      </c>
      <c r="C614">
        <v>18217785</v>
      </c>
      <c r="D614" t="str">
        <f>"8595086146183"</f>
        <v>8595086146183</v>
      </c>
      <c r="E614" t="s">
        <v>1401</v>
      </c>
      <c r="F614" t="s">
        <v>847</v>
      </c>
      <c r="G614">
        <v>1</v>
      </c>
      <c r="H614" t="s">
        <v>18</v>
      </c>
      <c r="I614" t="s">
        <v>51</v>
      </c>
      <c r="J614" t="s">
        <v>1007</v>
      </c>
      <c r="L614" t="s">
        <v>18</v>
      </c>
      <c r="M614" t="s">
        <v>1402</v>
      </c>
    </row>
    <row r="615" spans="2:13" x14ac:dyDescent="0.25">
      <c r="B615" t="s">
        <v>1389</v>
      </c>
      <c r="C615">
        <v>18217793</v>
      </c>
      <c r="D615" t="str">
        <f>"3800861058809"</f>
        <v>3800861058809</v>
      </c>
      <c r="E615" t="s">
        <v>1403</v>
      </c>
      <c r="F615" t="s">
        <v>191</v>
      </c>
      <c r="G615">
        <v>1</v>
      </c>
      <c r="H615" t="s">
        <v>18</v>
      </c>
      <c r="I615" t="s">
        <v>16</v>
      </c>
      <c r="J615" t="s">
        <v>221</v>
      </c>
      <c r="L615" t="s">
        <v>18</v>
      </c>
      <c r="M615" t="s">
        <v>1053</v>
      </c>
    </row>
    <row r="616" spans="2:13" x14ac:dyDescent="0.25">
      <c r="B616" t="s">
        <v>1389</v>
      </c>
      <c r="C616">
        <v>18217822</v>
      </c>
      <c r="D616" t="str">
        <f>"4610006683242"</f>
        <v>4610006683242</v>
      </c>
      <c r="E616" t="s">
        <v>1404</v>
      </c>
      <c r="F616" t="s">
        <v>466</v>
      </c>
      <c r="G616">
        <v>1</v>
      </c>
      <c r="H616" t="s">
        <v>18</v>
      </c>
      <c r="I616" t="s">
        <v>16</v>
      </c>
      <c r="J616" t="s">
        <v>748</v>
      </c>
      <c r="L616" t="s">
        <v>18</v>
      </c>
      <c r="M616" t="s">
        <v>1405</v>
      </c>
    </row>
    <row r="617" spans="2:13" x14ac:dyDescent="0.25">
      <c r="B617" t="s">
        <v>1389</v>
      </c>
      <c r="C617">
        <v>18217865</v>
      </c>
      <c r="D617" t="str">
        <f>"4260383672195"</f>
        <v>4260383672195</v>
      </c>
      <c r="E617" t="s">
        <v>1406</v>
      </c>
      <c r="F617" t="s">
        <v>410</v>
      </c>
      <c r="G617">
        <v>1</v>
      </c>
      <c r="H617" t="s">
        <v>18</v>
      </c>
      <c r="I617" t="s">
        <v>16</v>
      </c>
      <c r="J617" t="s">
        <v>1047</v>
      </c>
      <c r="L617" t="s">
        <v>18</v>
      </c>
      <c r="M617" t="s">
        <v>1407</v>
      </c>
    </row>
    <row r="618" spans="2:13" x14ac:dyDescent="0.25">
      <c r="B618" t="s">
        <v>1389</v>
      </c>
      <c r="C618">
        <v>18217873</v>
      </c>
      <c r="D618" t="str">
        <f>"4260383671761"</f>
        <v>4260383671761</v>
      </c>
      <c r="E618" t="s">
        <v>1408</v>
      </c>
      <c r="F618" t="s">
        <v>366</v>
      </c>
      <c r="G618">
        <v>1</v>
      </c>
      <c r="H618" t="s">
        <v>18</v>
      </c>
      <c r="I618" t="s">
        <v>16</v>
      </c>
      <c r="J618" t="s">
        <v>1047</v>
      </c>
      <c r="L618" t="s">
        <v>18</v>
      </c>
      <c r="M618" t="s">
        <v>1409</v>
      </c>
    </row>
    <row r="619" spans="2:13" x14ac:dyDescent="0.25">
      <c r="B619" t="s">
        <v>1389</v>
      </c>
      <c r="C619">
        <v>18217881</v>
      </c>
      <c r="D619" t="str">
        <f>"4260383672201"</f>
        <v>4260383672201</v>
      </c>
      <c r="E619" t="s">
        <v>1410</v>
      </c>
      <c r="F619" t="s">
        <v>40</v>
      </c>
      <c r="G619">
        <v>1</v>
      </c>
      <c r="H619" t="s">
        <v>18</v>
      </c>
      <c r="I619" t="s">
        <v>16</v>
      </c>
      <c r="J619" t="s">
        <v>1047</v>
      </c>
      <c r="L619" t="s">
        <v>18</v>
      </c>
      <c r="M619" t="s">
        <v>1409</v>
      </c>
    </row>
    <row r="620" spans="2:13" x14ac:dyDescent="0.25">
      <c r="B620" t="s">
        <v>1389</v>
      </c>
      <c r="C620">
        <v>18217890</v>
      </c>
      <c r="D620" t="str">
        <f>"4260383672171"</f>
        <v>4260383672171</v>
      </c>
      <c r="E620" t="s">
        <v>1411</v>
      </c>
      <c r="F620" t="s">
        <v>268</v>
      </c>
      <c r="G620">
        <v>1</v>
      </c>
      <c r="H620" t="s">
        <v>18</v>
      </c>
      <c r="I620" t="s">
        <v>16</v>
      </c>
      <c r="J620" t="s">
        <v>1047</v>
      </c>
      <c r="L620" t="s">
        <v>18</v>
      </c>
      <c r="M620" t="s">
        <v>1412</v>
      </c>
    </row>
    <row r="621" spans="2:13" x14ac:dyDescent="0.25">
      <c r="B621" t="s">
        <v>1389</v>
      </c>
      <c r="C621">
        <v>18414383</v>
      </c>
      <c r="D621" t="str">
        <f>"5708516982142"</f>
        <v>5708516982142</v>
      </c>
      <c r="E621" t="s">
        <v>1413</v>
      </c>
      <c r="F621" t="s">
        <v>212</v>
      </c>
      <c r="G621">
        <v>1</v>
      </c>
      <c r="H621" t="s">
        <v>18</v>
      </c>
      <c r="I621" t="s">
        <v>16</v>
      </c>
      <c r="J621" t="s">
        <v>826</v>
      </c>
      <c r="L621" t="s">
        <v>18</v>
      </c>
      <c r="M621" t="s">
        <v>1414</v>
      </c>
    </row>
    <row r="622" spans="2:13" x14ac:dyDescent="0.25">
      <c r="B622" t="s">
        <v>1389</v>
      </c>
      <c r="C622">
        <v>18414421</v>
      </c>
      <c r="D622" t="str">
        <f>"3276000268994"</f>
        <v>3276000268994</v>
      </c>
      <c r="E622" t="s">
        <v>1415</v>
      </c>
      <c r="F622" t="s">
        <v>194</v>
      </c>
      <c r="G622">
        <v>1</v>
      </c>
      <c r="H622" t="s">
        <v>18</v>
      </c>
      <c r="I622" t="s">
        <v>16</v>
      </c>
      <c r="J622" t="s">
        <v>17</v>
      </c>
      <c r="L622" t="s">
        <v>18</v>
      </c>
      <c r="M622" t="s">
        <v>1416</v>
      </c>
    </row>
    <row r="623" spans="2:13" x14ac:dyDescent="0.25">
      <c r="B623" t="s">
        <v>1389</v>
      </c>
      <c r="C623">
        <v>18414447</v>
      </c>
      <c r="D623" t="str">
        <f>"3276000268918"</f>
        <v>3276000268918</v>
      </c>
      <c r="E623" t="s">
        <v>1417</v>
      </c>
      <c r="F623" t="s">
        <v>1418</v>
      </c>
      <c r="G623">
        <v>1</v>
      </c>
      <c r="H623" t="s">
        <v>18</v>
      </c>
      <c r="I623" t="s">
        <v>16</v>
      </c>
      <c r="J623" t="s">
        <v>17</v>
      </c>
      <c r="L623" t="s">
        <v>18</v>
      </c>
      <c r="M623" t="s">
        <v>1419</v>
      </c>
    </row>
    <row r="624" spans="2:13" x14ac:dyDescent="0.25">
      <c r="B624" t="s">
        <v>1420</v>
      </c>
      <c r="C624">
        <v>13538125</v>
      </c>
      <c r="D624" t="str">
        <f>"4610006682108"</f>
        <v>4610006682108</v>
      </c>
      <c r="E624" t="s">
        <v>1421</v>
      </c>
      <c r="F624" t="s">
        <v>1422</v>
      </c>
      <c r="G624">
        <v>1</v>
      </c>
      <c r="H624" t="s">
        <v>18</v>
      </c>
      <c r="I624" t="s">
        <v>16</v>
      </c>
      <c r="J624" t="s">
        <v>748</v>
      </c>
      <c r="L624" t="s">
        <v>18</v>
      </c>
      <c r="M624" t="s">
        <v>1423</v>
      </c>
    </row>
    <row r="625" spans="2:13" x14ac:dyDescent="0.25">
      <c r="B625" t="s">
        <v>1420</v>
      </c>
      <c r="C625">
        <v>14251257</v>
      </c>
      <c r="D625" t="str">
        <f>"3276004827104"</f>
        <v>3276004827104</v>
      </c>
      <c r="E625" t="s">
        <v>1424</v>
      </c>
      <c r="F625" t="s">
        <v>43</v>
      </c>
      <c r="G625">
        <v>1</v>
      </c>
      <c r="H625" t="s">
        <v>18</v>
      </c>
      <c r="I625" t="s">
        <v>16</v>
      </c>
      <c r="J625" t="s">
        <v>28</v>
      </c>
      <c r="L625" t="s">
        <v>18</v>
      </c>
      <c r="M625" t="s">
        <v>1425</v>
      </c>
    </row>
    <row r="626" spans="2:13" x14ac:dyDescent="0.25">
      <c r="B626" t="s">
        <v>1420</v>
      </c>
      <c r="C626">
        <v>15932302</v>
      </c>
      <c r="D626" t="str">
        <f>"8000177229275"</f>
        <v>8000177229275</v>
      </c>
      <c r="E626" t="s">
        <v>1426</v>
      </c>
      <c r="F626" t="s">
        <v>413</v>
      </c>
      <c r="G626">
        <v>1</v>
      </c>
      <c r="H626" t="s">
        <v>18</v>
      </c>
      <c r="I626" t="s">
        <v>16</v>
      </c>
      <c r="J626" t="s">
        <v>989</v>
      </c>
      <c r="L626" t="s">
        <v>18</v>
      </c>
      <c r="M626" t="s">
        <v>1427</v>
      </c>
    </row>
    <row r="627" spans="2:13" x14ac:dyDescent="0.25">
      <c r="B627" t="s">
        <v>1420</v>
      </c>
      <c r="C627">
        <v>16110298</v>
      </c>
      <c r="D627" t="str">
        <f>"3276005566163"</f>
        <v>3276005566163</v>
      </c>
      <c r="E627" t="s">
        <v>1428</v>
      </c>
      <c r="F627" t="s">
        <v>1016</v>
      </c>
      <c r="G627">
        <v>1</v>
      </c>
      <c r="H627" t="s">
        <v>18</v>
      </c>
      <c r="I627" t="s">
        <v>16</v>
      </c>
      <c r="J627" t="s">
        <v>17</v>
      </c>
      <c r="L627" t="s">
        <v>18</v>
      </c>
      <c r="M627" t="s">
        <v>1429</v>
      </c>
    </row>
    <row r="628" spans="2:13" x14ac:dyDescent="0.25">
      <c r="B628" t="s">
        <v>1420</v>
      </c>
      <c r="C628">
        <v>16110301</v>
      </c>
      <c r="D628" t="str">
        <f>"3276005566132"</f>
        <v>3276005566132</v>
      </c>
      <c r="E628" t="s">
        <v>1430</v>
      </c>
      <c r="F628" t="s">
        <v>485</v>
      </c>
      <c r="G628">
        <v>1</v>
      </c>
      <c r="H628" t="s">
        <v>18</v>
      </c>
      <c r="I628" t="s">
        <v>16</v>
      </c>
      <c r="J628" t="s">
        <v>28</v>
      </c>
      <c r="L628" t="s">
        <v>18</v>
      </c>
      <c r="M628" t="s">
        <v>941</v>
      </c>
    </row>
    <row r="629" spans="2:13" x14ac:dyDescent="0.25">
      <c r="B629" t="s">
        <v>1420</v>
      </c>
      <c r="C629">
        <v>16110327</v>
      </c>
      <c r="D629" t="str">
        <f>"3276000268901"</f>
        <v>3276000268901</v>
      </c>
      <c r="E629" t="s">
        <v>1431</v>
      </c>
      <c r="F629" t="s">
        <v>1239</v>
      </c>
      <c r="G629">
        <v>1</v>
      </c>
      <c r="H629" t="s">
        <v>18</v>
      </c>
      <c r="I629" t="s">
        <v>16</v>
      </c>
      <c r="J629" t="s">
        <v>17</v>
      </c>
      <c r="L629" t="s">
        <v>18</v>
      </c>
      <c r="M629" t="s">
        <v>1432</v>
      </c>
    </row>
    <row r="630" spans="2:13" x14ac:dyDescent="0.25">
      <c r="B630" t="s">
        <v>1420</v>
      </c>
      <c r="C630">
        <v>16423438</v>
      </c>
      <c r="D630" t="str">
        <f>"3276005609075"</f>
        <v>3276005609075</v>
      </c>
      <c r="E630" t="s">
        <v>1433</v>
      </c>
      <c r="F630" t="s">
        <v>1434</v>
      </c>
      <c r="G630">
        <v>1</v>
      </c>
      <c r="H630" t="s">
        <v>18</v>
      </c>
      <c r="I630" t="s">
        <v>16</v>
      </c>
      <c r="J630" t="s">
        <v>17</v>
      </c>
      <c r="L630" t="s">
        <v>18</v>
      </c>
      <c r="M630" t="s">
        <v>1435</v>
      </c>
    </row>
    <row r="631" spans="2:13" x14ac:dyDescent="0.25">
      <c r="B631" t="s">
        <v>1420</v>
      </c>
      <c r="C631">
        <v>16768313</v>
      </c>
      <c r="D631" t="str">
        <f>"4260383671389"</f>
        <v>4260383671389</v>
      </c>
      <c r="E631" t="s">
        <v>1436</v>
      </c>
      <c r="F631" t="s">
        <v>174</v>
      </c>
      <c r="G631">
        <v>1</v>
      </c>
      <c r="H631" t="s">
        <v>18</v>
      </c>
      <c r="I631" t="s">
        <v>51</v>
      </c>
      <c r="J631" t="s">
        <v>1047</v>
      </c>
      <c r="L631" t="s">
        <v>18</v>
      </c>
      <c r="M631" t="s">
        <v>1437</v>
      </c>
    </row>
    <row r="632" spans="2:13" x14ac:dyDescent="0.25">
      <c r="B632" t="s">
        <v>1420</v>
      </c>
      <c r="C632">
        <v>18002637</v>
      </c>
      <c r="D632" t="str">
        <f>"4011097789507"</f>
        <v>4011097789507</v>
      </c>
      <c r="E632" t="s">
        <v>1438</v>
      </c>
      <c r="F632" t="s">
        <v>48</v>
      </c>
      <c r="G632">
        <v>1</v>
      </c>
      <c r="H632" t="s">
        <v>18</v>
      </c>
      <c r="I632" t="s">
        <v>51</v>
      </c>
      <c r="J632" t="s">
        <v>429</v>
      </c>
      <c r="L632" t="s">
        <v>18</v>
      </c>
      <c r="M632" t="s">
        <v>1439</v>
      </c>
    </row>
    <row r="633" spans="2:13" x14ac:dyDescent="0.25">
      <c r="B633" t="s">
        <v>1420</v>
      </c>
      <c r="C633">
        <v>18217718</v>
      </c>
      <c r="D633" t="str">
        <f>"4627112611120"</f>
        <v>4627112611120</v>
      </c>
      <c r="E633" t="s">
        <v>1440</v>
      </c>
      <c r="F633" t="s">
        <v>310</v>
      </c>
      <c r="G633">
        <v>1</v>
      </c>
      <c r="H633" t="s">
        <v>18</v>
      </c>
      <c r="I633" t="s">
        <v>16</v>
      </c>
      <c r="J633" t="s">
        <v>892</v>
      </c>
      <c r="L633" t="s">
        <v>18</v>
      </c>
      <c r="M633" t="s">
        <v>1441</v>
      </c>
    </row>
    <row r="634" spans="2:13" x14ac:dyDescent="0.25">
      <c r="B634" t="s">
        <v>1420</v>
      </c>
      <c r="C634">
        <v>18217751</v>
      </c>
      <c r="D634" t="str">
        <f>"4627091397787"</f>
        <v>4627091397787</v>
      </c>
      <c r="E634" t="s">
        <v>1442</v>
      </c>
      <c r="F634" t="s">
        <v>406</v>
      </c>
      <c r="G634">
        <v>1</v>
      </c>
      <c r="H634" t="s">
        <v>18</v>
      </c>
      <c r="I634" t="s">
        <v>16</v>
      </c>
      <c r="J634" t="s">
        <v>854</v>
      </c>
      <c r="L634" t="s">
        <v>18</v>
      </c>
      <c r="M634" t="s">
        <v>1443</v>
      </c>
    </row>
    <row r="635" spans="2:13" x14ac:dyDescent="0.25">
      <c r="B635" t="s">
        <v>1420</v>
      </c>
      <c r="C635">
        <v>18217769</v>
      </c>
      <c r="D635" t="str">
        <f>"8000177019593"</f>
        <v>8000177019593</v>
      </c>
      <c r="E635" t="s">
        <v>1444</v>
      </c>
      <c r="F635" t="s">
        <v>109</v>
      </c>
      <c r="G635">
        <v>1</v>
      </c>
      <c r="H635" t="s">
        <v>18</v>
      </c>
      <c r="I635" t="s">
        <v>16</v>
      </c>
      <c r="J635" t="s">
        <v>989</v>
      </c>
      <c r="L635" t="s">
        <v>18</v>
      </c>
      <c r="M635" t="s">
        <v>1307</v>
      </c>
    </row>
    <row r="636" spans="2:13" x14ac:dyDescent="0.25">
      <c r="B636" t="s">
        <v>1420</v>
      </c>
      <c r="C636">
        <v>18217777</v>
      </c>
      <c r="D636" t="str">
        <f>"3800861058793"</f>
        <v>3800861058793</v>
      </c>
      <c r="E636" t="s">
        <v>1445</v>
      </c>
      <c r="F636" t="s">
        <v>48</v>
      </c>
      <c r="G636">
        <v>1</v>
      </c>
      <c r="H636" t="s">
        <v>18</v>
      </c>
      <c r="I636" t="s">
        <v>16</v>
      </c>
      <c r="J636" t="s">
        <v>221</v>
      </c>
      <c r="L636" t="s">
        <v>18</v>
      </c>
      <c r="M636" t="s">
        <v>1446</v>
      </c>
    </row>
    <row r="637" spans="2:13" x14ac:dyDescent="0.25">
      <c r="B637" t="s">
        <v>1420</v>
      </c>
      <c r="C637">
        <v>18217814</v>
      </c>
      <c r="D637" t="str">
        <f>"4610006683686"</f>
        <v>4610006683686</v>
      </c>
      <c r="E637" t="s">
        <v>1447</v>
      </c>
      <c r="F637" t="s">
        <v>322</v>
      </c>
      <c r="G637">
        <v>1</v>
      </c>
      <c r="H637" t="s">
        <v>18</v>
      </c>
      <c r="I637" t="s">
        <v>16</v>
      </c>
      <c r="J637" t="s">
        <v>748</v>
      </c>
      <c r="L637" t="s">
        <v>18</v>
      </c>
      <c r="M637" t="s">
        <v>1448</v>
      </c>
    </row>
    <row r="638" spans="2:13" x14ac:dyDescent="0.25">
      <c r="B638" t="s">
        <v>1420</v>
      </c>
      <c r="C638">
        <v>18217849</v>
      </c>
      <c r="D638" t="str">
        <f>"4260383672188"</f>
        <v>4260383672188</v>
      </c>
      <c r="E638" t="s">
        <v>1449</v>
      </c>
      <c r="F638" t="s">
        <v>389</v>
      </c>
      <c r="G638">
        <v>1</v>
      </c>
      <c r="H638" t="s">
        <v>18</v>
      </c>
      <c r="I638" t="s">
        <v>16</v>
      </c>
      <c r="J638" t="s">
        <v>1047</v>
      </c>
      <c r="L638" t="s">
        <v>18</v>
      </c>
      <c r="M638" t="s">
        <v>1450</v>
      </c>
    </row>
    <row r="639" spans="2:13" x14ac:dyDescent="0.25">
      <c r="B639" t="s">
        <v>1420</v>
      </c>
      <c r="C639">
        <v>18272670</v>
      </c>
      <c r="D639" t="str">
        <f>"6914646169042"</f>
        <v>6914646169042</v>
      </c>
      <c r="E639" t="s">
        <v>1451</v>
      </c>
      <c r="F639" t="s">
        <v>109</v>
      </c>
      <c r="G639">
        <v>1</v>
      </c>
      <c r="H639" t="s">
        <v>18</v>
      </c>
      <c r="I639" t="s">
        <v>16</v>
      </c>
      <c r="J639" t="s">
        <v>360</v>
      </c>
      <c r="L639" t="s">
        <v>18</v>
      </c>
      <c r="M639" t="s">
        <v>1452</v>
      </c>
    </row>
    <row r="640" spans="2:13" x14ac:dyDescent="0.25">
      <c r="B640" t="s">
        <v>1420</v>
      </c>
      <c r="C640">
        <v>18413399</v>
      </c>
      <c r="D640" t="str">
        <f>"4051343040686"</f>
        <v>4051343040686</v>
      </c>
      <c r="E640" t="s">
        <v>1453</v>
      </c>
      <c r="F640" t="s">
        <v>847</v>
      </c>
      <c r="G640">
        <v>1</v>
      </c>
      <c r="H640" t="s">
        <v>18</v>
      </c>
      <c r="I640" t="s">
        <v>16</v>
      </c>
      <c r="J640" t="s">
        <v>52</v>
      </c>
      <c r="L640" t="s">
        <v>18</v>
      </c>
      <c r="M640" t="s">
        <v>1454</v>
      </c>
    </row>
    <row r="641" spans="2:13" x14ac:dyDescent="0.25">
      <c r="B641" t="s">
        <v>1420</v>
      </c>
      <c r="C641">
        <v>18414391</v>
      </c>
      <c r="D641" t="str">
        <f>"3276000268932"</f>
        <v>3276000268932</v>
      </c>
      <c r="E641" t="s">
        <v>1455</v>
      </c>
      <c r="F641" t="s">
        <v>194</v>
      </c>
      <c r="G641">
        <v>1</v>
      </c>
      <c r="H641" t="s">
        <v>18</v>
      </c>
      <c r="I641" t="s">
        <v>16</v>
      </c>
      <c r="J641" t="s">
        <v>28</v>
      </c>
      <c r="L641" t="s">
        <v>18</v>
      </c>
      <c r="M641" t="s">
        <v>1456</v>
      </c>
    </row>
    <row r="642" spans="2:13" x14ac:dyDescent="0.25">
      <c r="B642" t="s">
        <v>1420</v>
      </c>
      <c r="C642">
        <v>18414439</v>
      </c>
      <c r="D642" t="str">
        <f>"3276000268925"</f>
        <v>3276000268925</v>
      </c>
      <c r="E642" t="s">
        <v>1457</v>
      </c>
      <c r="F642" t="s">
        <v>194</v>
      </c>
      <c r="G642">
        <v>1</v>
      </c>
      <c r="H642" t="s">
        <v>18</v>
      </c>
      <c r="I642" t="s">
        <v>16</v>
      </c>
      <c r="J642" t="s">
        <v>17</v>
      </c>
      <c r="L642" t="s">
        <v>18</v>
      </c>
      <c r="M642" t="s">
        <v>1458</v>
      </c>
    </row>
    <row r="643" spans="2:13" x14ac:dyDescent="0.25">
      <c r="B643" t="s">
        <v>1420</v>
      </c>
      <c r="C643">
        <v>18414455</v>
      </c>
      <c r="D643" t="str">
        <f>"3276000268949"</f>
        <v>3276000268949</v>
      </c>
      <c r="E643" t="s">
        <v>1459</v>
      </c>
      <c r="F643" t="s">
        <v>285</v>
      </c>
      <c r="G643">
        <v>1</v>
      </c>
      <c r="H643" t="s">
        <v>18</v>
      </c>
      <c r="I643" t="s">
        <v>16</v>
      </c>
      <c r="J643" t="s">
        <v>17</v>
      </c>
      <c r="L643" t="s">
        <v>18</v>
      </c>
      <c r="M643" t="s">
        <v>1460</v>
      </c>
    </row>
    <row r="644" spans="2:13" x14ac:dyDescent="0.25">
      <c r="B644" t="s">
        <v>1420</v>
      </c>
      <c r="C644">
        <v>18414463</v>
      </c>
      <c r="D644" t="str">
        <f>"3276000268963"</f>
        <v>3276000268963</v>
      </c>
      <c r="E644" t="s">
        <v>1461</v>
      </c>
      <c r="F644" t="s">
        <v>194</v>
      </c>
      <c r="G644">
        <v>1</v>
      </c>
      <c r="H644" t="s">
        <v>18</v>
      </c>
      <c r="I644" t="s">
        <v>16</v>
      </c>
      <c r="J644" t="s">
        <v>17</v>
      </c>
      <c r="L644" t="s">
        <v>18</v>
      </c>
      <c r="M644" t="s">
        <v>1462</v>
      </c>
    </row>
    <row r="645" spans="2:13" x14ac:dyDescent="0.25">
      <c r="B645" t="s">
        <v>1420</v>
      </c>
      <c r="C645">
        <v>18503212</v>
      </c>
      <c r="D645" t="str">
        <f>"4690576028148"</f>
        <v>4690576028148</v>
      </c>
      <c r="E645" t="s">
        <v>1463</v>
      </c>
      <c r="F645" t="s">
        <v>379</v>
      </c>
      <c r="G645">
        <v>1</v>
      </c>
      <c r="H645" t="s">
        <v>18</v>
      </c>
      <c r="I645" t="s">
        <v>16</v>
      </c>
      <c r="J645" t="s">
        <v>1464</v>
      </c>
      <c r="L645" t="s">
        <v>18</v>
      </c>
      <c r="M645" t="s">
        <v>1465</v>
      </c>
    </row>
    <row r="646" spans="2:13" x14ac:dyDescent="0.25">
      <c r="B646" t="s">
        <v>1420</v>
      </c>
      <c r="C646">
        <v>18686961</v>
      </c>
      <c r="D646" t="str">
        <f>"4607814941817"</f>
        <v>4607814941817</v>
      </c>
      <c r="E646" t="s">
        <v>1466</v>
      </c>
      <c r="F646" t="s">
        <v>194</v>
      </c>
      <c r="G646">
        <v>1</v>
      </c>
      <c r="H646" t="s">
        <v>18</v>
      </c>
      <c r="I646" t="s">
        <v>680</v>
      </c>
      <c r="J646" t="s">
        <v>1007</v>
      </c>
      <c r="L646" t="s">
        <v>18</v>
      </c>
      <c r="M646" t="s">
        <v>1467</v>
      </c>
    </row>
    <row r="647" spans="2:13" x14ac:dyDescent="0.25">
      <c r="B647" t="s">
        <v>1420</v>
      </c>
      <c r="C647">
        <v>18686979</v>
      </c>
      <c r="D647" t="str">
        <f>"4607814940735"</f>
        <v>4607814940735</v>
      </c>
      <c r="E647" t="s">
        <v>1468</v>
      </c>
      <c r="F647" t="s">
        <v>194</v>
      </c>
      <c r="G647">
        <v>1</v>
      </c>
      <c r="H647" t="s">
        <v>18</v>
      </c>
      <c r="I647" t="s">
        <v>680</v>
      </c>
      <c r="J647" t="s">
        <v>1007</v>
      </c>
      <c r="L647" t="s">
        <v>18</v>
      </c>
      <c r="M647" t="s">
        <v>1469</v>
      </c>
    </row>
    <row r="648" spans="2:13" x14ac:dyDescent="0.25">
      <c r="B648" t="s">
        <v>1470</v>
      </c>
      <c r="C648">
        <v>14409683</v>
      </c>
      <c r="D648" t="str">
        <f>"4051343033190"</f>
        <v>4051343033190</v>
      </c>
      <c r="E648" t="s">
        <v>1471</v>
      </c>
      <c r="F648" t="s">
        <v>48</v>
      </c>
      <c r="G648">
        <v>1</v>
      </c>
      <c r="H648" t="s">
        <v>18</v>
      </c>
      <c r="I648" t="s">
        <v>16</v>
      </c>
      <c r="J648" t="s">
        <v>52</v>
      </c>
      <c r="L648" t="s">
        <v>18</v>
      </c>
      <c r="M648" t="s">
        <v>1472</v>
      </c>
    </row>
    <row r="649" spans="2:13" x14ac:dyDescent="0.25">
      <c r="B649" t="s">
        <v>1470</v>
      </c>
      <c r="C649">
        <v>14798439</v>
      </c>
      <c r="D649" t="str">
        <f>"7350078200196"</f>
        <v>7350078200196</v>
      </c>
      <c r="E649" t="s">
        <v>1473</v>
      </c>
      <c r="F649" t="s">
        <v>48</v>
      </c>
      <c r="G649">
        <v>1</v>
      </c>
      <c r="H649" t="s">
        <v>18</v>
      </c>
      <c r="I649" t="s">
        <v>16</v>
      </c>
      <c r="J649" t="s">
        <v>864</v>
      </c>
      <c r="L649" t="s">
        <v>18</v>
      </c>
      <c r="M649" t="s">
        <v>1474</v>
      </c>
    </row>
    <row r="650" spans="2:13" x14ac:dyDescent="0.25">
      <c r="B650" t="s">
        <v>1470</v>
      </c>
      <c r="C650">
        <v>14798447</v>
      </c>
      <c r="D650" t="str">
        <f>"7350078200202"</f>
        <v>7350078200202</v>
      </c>
      <c r="E650" t="s">
        <v>1475</v>
      </c>
      <c r="F650" t="s">
        <v>24</v>
      </c>
      <c r="G650">
        <v>1</v>
      </c>
      <c r="H650" t="s">
        <v>18</v>
      </c>
      <c r="I650" t="s">
        <v>16</v>
      </c>
      <c r="J650" t="s">
        <v>864</v>
      </c>
      <c r="L650" t="s">
        <v>18</v>
      </c>
      <c r="M650" t="s">
        <v>1476</v>
      </c>
    </row>
    <row r="651" spans="2:13" x14ac:dyDescent="0.25">
      <c r="B651" t="s">
        <v>1477</v>
      </c>
      <c r="C651">
        <v>13443089</v>
      </c>
      <c r="D651" t="str">
        <f>"4610006680760"</f>
        <v>4610006680760</v>
      </c>
      <c r="E651" t="s">
        <v>1478</v>
      </c>
      <c r="F651" t="s">
        <v>1418</v>
      </c>
      <c r="G651">
        <v>1</v>
      </c>
      <c r="H651" t="s">
        <v>18</v>
      </c>
      <c r="I651" t="s">
        <v>16</v>
      </c>
      <c r="J651" t="s">
        <v>748</v>
      </c>
      <c r="L651" t="s">
        <v>18</v>
      </c>
      <c r="M651" t="s">
        <v>1479</v>
      </c>
    </row>
    <row r="652" spans="2:13" x14ac:dyDescent="0.25">
      <c r="B652" t="s">
        <v>1480</v>
      </c>
      <c r="C652">
        <v>16768348</v>
      </c>
      <c r="D652" t="str">
        <f>"4260383671495"</f>
        <v>4260383671495</v>
      </c>
      <c r="E652" t="s">
        <v>1481</v>
      </c>
      <c r="F652" t="s">
        <v>27</v>
      </c>
      <c r="G652">
        <v>1</v>
      </c>
      <c r="H652" t="s">
        <v>18</v>
      </c>
      <c r="I652" t="s">
        <v>51</v>
      </c>
      <c r="J652" t="s">
        <v>1047</v>
      </c>
      <c r="L652" t="s">
        <v>18</v>
      </c>
      <c r="M652" t="s">
        <v>1482</v>
      </c>
    </row>
    <row r="653" spans="2:13" x14ac:dyDescent="0.25">
      <c r="B653" t="s">
        <v>1480</v>
      </c>
      <c r="C653">
        <v>16768356</v>
      </c>
      <c r="D653" t="str">
        <f>"4260383671501"</f>
        <v>4260383671501</v>
      </c>
      <c r="E653" t="s">
        <v>1483</v>
      </c>
      <c r="F653" t="s">
        <v>24</v>
      </c>
      <c r="G653">
        <v>1</v>
      </c>
      <c r="H653" t="s">
        <v>18</v>
      </c>
      <c r="I653" t="s">
        <v>51</v>
      </c>
      <c r="J653" t="s">
        <v>1047</v>
      </c>
      <c r="L653" t="s">
        <v>18</v>
      </c>
      <c r="M653" t="s">
        <v>1484</v>
      </c>
    </row>
    <row r="654" spans="2:13" x14ac:dyDescent="0.25">
      <c r="B654" t="s">
        <v>1485</v>
      </c>
      <c r="C654">
        <v>10064868</v>
      </c>
      <c r="D654" t="str">
        <f>"6914646648684"</f>
        <v>6914646648684</v>
      </c>
      <c r="E654" t="s">
        <v>1486</v>
      </c>
      <c r="F654" t="s">
        <v>751</v>
      </c>
      <c r="G654">
        <v>1</v>
      </c>
      <c r="H654" t="s">
        <v>18</v>
      </c>
      <c r="I654" t="s">
        <v>16</v>
      </c>
      <c r="J654" t="s">
        <v>360</v>
      </c>
      <c r="L654" t="s">
        <v>18</v>
      </c>
      <c r="M654" t="s">
        <v>282</v>
      </c>
    </row>
    <row r="655" spans="2:13" x14ac:dyDescent="0.25">
      <c r="B655" t="s">
        <v>1485</v>
      </c>
      <c r="C655">
        <v>11230477</v>
      </c>
      <c r="D655" t="str">
        <f>"6914646304771"</f>
        <v>6914646304771</v>
      </c>
      <c r="E655" t="s">
        <v>1487</v>
      </c>
      <c r="F655" t="s">
        <v>1488</v>
      </c>
      <c r="G655">
        <v>1</v>
      </c>
      <c r="H655" t="s">
        <v>18</v>
      </c>
      <c r="I655" t="s">
        <v>16</v>
      </c>
      <c r="J655" t="s">
        <v>360</v>
      </c>
      <c r="L655" t="s">
        <v>18</v>
      </c>
      <c r="M655" t="s">
        <v>1489</v>
      </c>
    </row>
    <row r="656" spans="2:13" x14ac:dyDescent="0.25">
      <c r="B656" t="s">
        <v>1485</v>
      </c>
      <c r="C656">
        <v>13016634</v>
      </c>
      <c r="D656" t="str">
        <f>"8401205200202"</f>
        <v>8401205200202</v>
      </c>
      <c r="E656" t="s">
        <v>1490</v>
      </c>
      <c r="F656" t="s">
        <v>366</v>
      </c>
      <c r="G656">
        <v>1</v>
      </c>
      <c r="H656" t="s">
        <v>18</v>
      </c>
      <c r="I656" t="s">
        <v>16</v>
      </c>
      <c r="J656" t="s">
        <v>360</v>
      </c>
      <c r="L656" t="s">
        <v>18</v>
      </c>
      <c r="M656" t="s">
        <v>1491</v>
      </c>
    </row>
    <row r="657" spans="2:13" x14ac:dyDescent="0.25">
      <c r="B657" t="s">
        <v>1492</v>
      </c>
      <c r="C657">
        <v>15628765</v>
      </c>
      <c r="D657" t="str">
        <f>"4011097678856"</f>
        <v>4011097678856</v>
      </c>
      <c r="E657" t="s">
        <v>1493</v>
      </c>
      <c r="F657" t="s">
        <v>31</v>
      </c>
      <c r="G657">
        <v>1</v>
      </c>
      <c r="H657" t="s">
        <v>18</v>
      </c>
      <c r="I657" t="s">
        <v>16</v>
      </c>
      <c r="J657" t="s">
        <v>429</v>
      </c>
      <c r="L657" t="s">
        <v>18</v>
      </c>
      <c r="M657" t="s">
        <v>1494</v>
      </c>
    </row>
    <row r="658" spans="2:13" x14ac:dyDescent="0.25">
      <c r="B658" t="s">
        <v>1492</v>
      </c>
      <c r="C658">
        <v>15628773</v>
      </c>
      <c r="D658" t="str">
        <f>"4011097678832"</f>
        <v>4011097678832</v>
      </c>
      <c r="E658" t="s">
        <v>1495</v>
      </c>
      <c r="F658" t="s">
        <v>27</v>
      </c>
      <c r="G658">
        <v>1</v>
      </c>
      <c r="H658" t="s">
        <v>18</v>
      </c>
      <c r="I658" t="s">
        <v>16</v>
      </c>
      <c r="J658" t="s">
        <v>429</v>
      </c>
      <c r="L658" t="s">
        <v>18</v>
      </c>
      <c r="M658" t="s">
        <v>1496</v>
      </c>
    </row>
    <row r="659" spans="2:13" x14ac:dyDescent="0.25">
      <c r="B659" t="s">
        <v>1492</v>
      </c>
      <c r="C659">
        <v>16423294</v>
      </c>
      <c r="D659" t="str">
        <f>"4015413334518"</f>
        <v>4015413334518</v>
      </c>
      <c r="E659" t="s">
        <v>1497</v>
      </c>
      <c r="F659" t="s">
        <v>27</v>
      </c>
      <c r="G659">
        <v>1</v>
      </c>
      <c r="H659" t="s">
        <v>18</v>
      </c>
      <c r="I659" t="s">
        <v>51</v>
      </c>
      <c r="J659" t="s">
        <v>221</v>
      </c>
      <c r="L659" t="s">
        <v>18</v>
      </c>
      <c r="M659" t="s">
        <v>1498</v>
      </c>
    </row>
    <row r="660" spans="2:13" x14ac:dyDescent="0.25">
      <c r="B660" t="s">
        <v>1492</v>
      </c>
      <c r="C660">
        <v>16423307</v>
      </c>
      <c r="D660" t="str">
        <f>"4015413314466"</f>
        <v>4015413314466</v>
      </c>
      <c r="E660" t="s">
        <v>1499</v>
      </c>
      <c r="F660" t="s">
        <v>14</v>
      </c>
      <c r="G660">
        <v>1</v>
      </c>
      <c r="H660" t="s">
        <v>18</v>
      </c>
      <c r="I660" t="s">
        <v>51</v>
      </c>
      <c r="J660" t="s">
        <v>221</v>
      </c>
      <c r="L660" t="s">
        <v>18</v>
      </c>
      <c r="M660" t="s">
        <v>1500</v>
      </c>
    </row>
    <row r="661" spans="2:13" x14ac:dyDescent="0.25">
      <c r="B661" t="s">
        <v>1501</v>
      </c>
      <c r="C661">
        <v>13558986</v>
      </c>
      <c r="D661" t="str">
        <f>"6914646103206"</f>
        <v>6914646103206</v>
      </c>
      <c r="E661" t="s">
        <v>1502</v>
      </c>
      <c r="F661" t="s">
        <v>295</v>
      </c>
      <c r="G661">
        <v>1</v>
      </c>
      <c r="H661" t="s">
        <v>18</v>
      </c>
      <c r="I661" t="s">
        <v>51</v>
      </c>
      <c r="J661" t="s">
        <v>360</v>
      </c>
      <c r="L661" t="s">
        <v>18</v>
      </c>
      <c r="M661" t="s">
        <v>1503</v>
      </c>
    </row>
    <row r="662" spans="2:13" x14ac:dyDescent="0.25">
      <c r="B662" t="s">
        <v>1501</v>
      </c>
      <c r="C662">
        <v>13558994</v>
      </c>
      <c r="D662" t="str">
        <f>"6914646103213"</f>
        <v>6914646103213</v>
      </c>
      <c r="E662" t="s">
        <v>1504</v>
      </c>
      <c r="F662" t="s">
        <v>649</v>
      </c>
      <c r="G662">
        <v>1</v>
      </c>
      <c r="H662" t="s">
        <v>18</v>
      </c>
      <c r="I662" t="s">
        <v>51</v>
      </c>
      <c r="J662" t="s">
        <v>360</v>
      </c>
      <c r="L662" t="s">
        <v>18</v>
      </c>
      <c r="M662" t="s">
        <v>1505</v>
      </c>
    </row>
    <row r="663" spans="2:13" x14ac:dyDescent="0.25">
      <c r="B663" t="s">
        <v>1501</v>
      </c>
      <c r="C663">
        <v>13559006</v>
      </c>
      <c r="D663" t="str">
        <f>"6914646103114"</f>
        <v>6914646103114</v>
      </c>
      <c r="E663" t="s">
        <v>1506</v>
      </c>
      <c r="F663" t="s">
        <v>525</v>
      </c>
      <c r="G663">
        <v>1</v>
      </c>
      <c r="H663" t="s">
        <v>18</v>
      </c>
      <c r="I663" t="s">
        <v>51</v>
      </c>
      <c r="J663" t="s">
        <v>360</v>
      </c>
      <c r="L663" t="s">
        <v>18</v>
      </c>
      <c r="M663" t="s">
        <v>1507</v>
      </c>
    </row>
    <row r="664" spans="2:13" x14ac:dyDescent="0.25">
      <c r="B664" t="s">
        <v>1501</v>
      </c>
      <c r="C664">
        <v>13559014</v>
      </c>
      <c r="D664" t="str">
        <f>"6914646103121"</f>
        <v>6914646103121</v>
      </c>
      <c r="E664" t="s">
        <v>1508</v>
      </c>
      <c r="F664" t="s">
        <v>242</v>
      </c>
      <c r="G664">
        <v>1</v>
      </c>
      <c r="H664" t="s">
        <v>18</v>
      </c>
      <c r="I664" t="s">
        <v>51</v>
      </c>
      <c r="J664" t="s">
        <v>360</v>
      </c>
      <c r="L664" t="s">
        <v>18</v>
      </c>
      <c r="M664" t="s">
        <v>1509</v>
      </c>
    </row>
    <row r="665" spans="2:13" x14ac:dyDescent="0.25">
      <c r="B665" t="s">
        <v>1501</v>
      </c>
      <c r="C665">
        <v>14362854</v>
      </c>
      <c r="D665" t="str">
        <f>"4260383670221"</f>
        <v>4260383670221</v>
      </c>
      <c r="E665" t="s">
        <v>1510</v>
      </c>
      <c r="F665" t="s">
        <v>379</v>
      </c>
      <c r="G665">
        <v>1</v>
      </c>
      <c r="H665" t="s">
        <v>18</v>
      </c>
      <c r="I665" t="s">
        <v>51</v>
      </c>
      <c r="J665" t="s">
        <v>1047</v>
      </c>
      <c r="L665" t="s">
        <v>18</v>
      </c>
      <c r="M665" t="s">
        <v>631</v>
      </c>
    </row>
    <row r="666" spans="2:13" x14ac:dyDescent="0.25">
      <c r="B666" t="s">
        <v>1501</v>
      </c>
      <c r="C666">
        <v>14410916</v>
      </c>
      <c r="D666" t="str">
        <f>"3800861045496"</f>
        <v>3800861045496</v>
      </c>
      <c r="E666" t="s">
        <v>1511</v>
      </c>
      <c r="F666" t="s">
        <v>379</v>
      </c>
      <c r="G666">
        <v>1</v>
      </c>
      <c r="H666" t="s">
        <v>18</v>
      </c>
      <c r="I666" t="s">
        <v>16</v>
      </c>
      <c r="J666" t="s">
        <v>221</v>
      </c>
      <c r="L666" t="s">
        <v>18</v>
      </c>
      <c r="M666" t="s">
        <v>1512</v>
      </c>
    </row>
    <row r="667" spans="2:13" x14ac:dyDescent="0.25">
      <c r="B667" t="s">
        <v>1501</v>
      </c>
      <c r="C667">
        <v>15500067</v>
      </c>
      <c r="D667" t="str">
        <f>"8401205035354"</f>
        <v>8401205035354</v>
      </c>
      <c r="E667" t="s">
        <v>1513</v>
      </c>
      <c r="F667" t="s">
        <v>191</v>
      </c>
      <c r="G667">
        <v>1</v>
      </c>
      <c r="H667" t="s">
        <v>18</v>
      </c>
      <c r="I667" t="s">
        <v>51</v>
      </c>
      <c r="J667" t="s">
        <v>360</v>
      </c>
      <c r="L667" t="s">
        <v>18</v>
      </c>
      <c r="M667" t="s">
        <v>1514</v>
      </c>
    </row>
    <row r="668" spans="2:13" x14ac:dyDescent="0.25">
      <c r="B668" t="s">
        <v>1515</v>
      </c>
      <c r="C668">
        <v>14548317</v>
      </c>
      <c r="D668" t="str">
        <f>"4011097710334"</f>
        <v>4011097710334</v>
      </c>
      <c r="E668" t="s">
        <v>1516</v>
      </c>
      <c r="F668" t="s">
        <v>285</v>
      </c>
      <c r="G668">
        <v>1</v>
      </c>
      <c r="H668" t="s">
        <v>18</v>
      </c>
      <c r="I668" t="s">
        <v>51</v>
      </c>
      <c r="J668" t="s">
        <v>429</v>
      </c>
      <c r="L668" t="s">
        <v>18</v>
      </c>
      <c r="M668" t="s">
        <v>1517</v>
      </c>
    </row>
    <row r="669" spans="2:13" x14ac:dyDescent="0.25">
      <c r="B669" t="s">
        <v>1518</v>
      </c>
      <c r="C669">
        <v>12349226</v>
      </c>
      <c r="D669" t="str">
        <f>"4605196003093"</f>
        <v>4605196003093</v>
      </c>
      <c r="E669" t="s">
        <v>1519</v>
      </c>
      <c r="F669" t="s">
        <v>1520</v>
      </c>
      <c r="G669">
        <v>1</v>
      </c>
      <c r="H669" t="s">
        <v>18</v>
      </c>
      <c r="I669" t="s">
        <v>16</v>
      </c>
      <c r="J669" t="s">
        <v>1521</v>
      </c>
      <c r="L669" t="s">
        <v>18</v>
      </c>
      <c r="M669" t="s">
        <v>1168</v>
      </c>
    </row>
    <row r="670" spans="2:13" x14ac:dyDescent="0.25">
      <c r="B670" t="s">
        <v>1518</v>
      </c>
      <c r="C670">
        <v>12349234</v>
      </c>
      <c r="D670" t="str">
        <f>"4605196003192"</f>
        <v>4605196003192</v>
      </c>
      <c r="E670" t="s">
        <v>1522</v>
      </c>
      <c r="F670" t="s">
        <v>34</v>
      </c>
      <c r="G670">
        <v>0</v>
      </c>
      <c r="H670" t="s">
        <v>18</v>
      </c>
      <c r="I670" t="s">
        <v>754</v>
      </c>
      <c r="J670" t="s">
        <v>1521</v>
      </c>
      <c r="K670" s="1">
        <v>42840</v>
      </c>
      <c r="L670" t="s">
        <v>18</v>
      </c>
      <c r="M670" t="s">
        <v>170</v>
      </c>
    </row>
    <row r="671" spans="2:13" x14ac:dyDescent="0.25">
      <c r="B671" t="s">
        <v>1518</v>
      </c>
      <c r="C671">
        <v>13076135</v>
      </c>
      <c r="D671" t="str">
        <f>"4630021680156"</f>
        <v>4630021680156</v>
      </c>
      <c r="E671" t="s">
        <v>1523</v>
      </c>
      <c r="F671" t="s">
        <v>1524</v>
      </c>
      <c r="G671">
        <v>1</v>
      </c>
      <c r="H671" t="s">
        <v>18</v>
      </c>
      <c r="I671" t="s">
        <v>16</v>
      </c>
      <c r="J671" t="s">
        <v>1525</v>
      </c>
      <c r="L671" t="s">
        <v>18</v>
      </c>
      <c r="M671" t="s">
        <v>1526</v>
      </c>
    </row>
    <row r="672" spans="2:13" x14ac:dyDescent="0.25">
      <c r="B672" t="s">
        <v>1518</v>
      </c>
      <c r="C672">
        <v>13197711</v>
      </c>
      <c r="D672" t="str">
        <f>"4630021680101"</f>
        <v>4630021680101</v>
      </c>
      <c r="E672" t="s">
        <v>1527</v>
      </c>
      <c r="F672" t="s">
        <v>1016</v>
      </c>
      <c r="G672">
        <v>1</v>
      </c>
      <c r="H672" t="s">
        <v>18</v>
      </c>
      <c r="I672" t="s">
        <v>16</v>
      </c>
      <c r="J672" t="s">
        <v>1525</v>
      </c>
      <c r="L672" t="s">
        <v>18</v>
      </c>
      <c r="M672" t="s">
        <v>310</v>
      </c>
    </row>
    <row r="673" spans="2:13" x14ac:dyDescent="0.25">
      <c r="B673" t="s">
        <v>1518</v>
      </c>
      <c r="C673">
        <v>13197738</v>
      </c>
      <c r="D673" t="str">
        <f>"4630021680118"</f>
        <v>4630021680118</v>
      </c>
      <c r="E673" t="s">
        <v>1528</v>
      </c>
      <c r="F673" t="s">
        <v>1524</v>
      </c>
      <c r="G673">
        <v>1</v>
      </c>
      <c r="H673" t="s">
        <v>18</v>
      </c>
      <c r="I673" t="s">
        <v>16</v>
      </c>
      <c r="J673" t="s">
        <v>1525</v>
      </c>
      <c r="L673" t="s">
        <v>18</v>
      </c>
      <c r="M673" t="s">
        <v>973</v>
      </c>
    </row>
    <row r="674" spans="2:13" x14ac:dyDescent="0.25">
      <c r="B674" t="s">
        <v>1518</v>
      </c>
      <c r="C674">
        <v>13197746</v>
      </c>
      <c r="D674" t="str">
        <f>"4607134410154"</f>
        <v>4607134410154</v>
      </c>
      <c r="E674" t="s">
        <v>1529</v>
      </c>
      <c r="F674" t="s">
        <v>252</v>
      </c>
      <c r="G674">
        <v>1</v>
      </c>
      <c r="H674" t="s">
        <v>18</v>
      </c>
      <c r="I674" t="s">
        <v>16</v>
      </c>
      <c r="J674" t="s">
        <v>1525</v>
      </c>
      <c r="L674" t="s">
        <v>18</v>
      </c>
      <c r="M674" t="s">
        <v>252</v>
      </c>
    </row>
    <row r="675" spans="2:13" x14ac:dyDescent="0.25">
      <c r="B675" t="s">
        <v>1518</v>
      </c>
      <c r="C675">
        <v>13197754</v>
      </c>
      <c r="D675" t="str">
        <f>"4630021680125"</f>
        <v>4630021680125</v>
      </c>
      <c r="E675" t="s">
        <v>1530</v>
      </c>
      <c r="F675" t="s">
        <v>185</v>
      </c>
      <c r="G675">
        <v>1</v>
      </c>
      <c r="H675" t="s">
        <v>18</v>
      </c>
      <c r="I675" t="s">
        <v>16</v>
      </c>
      <c r="J675" t="s">
        <v>1525</v>
      </c>
      <c r="L675" t="s">
        <v>18</v>
      </c>
      <c r="M675" t="s">
        <v>1531</v>
      </c>
    </row>
    <row r="676" spans="2:13" x14ac:dyDescent="0.25">
      <c r="B676" t="s">
        <v>1518</v>
      </c>
      <c r="C676">
        <v>13197762</v>
      </c>
      <c r="D676" t="str">
        <f>"4630021680132"</f>
        <v>4630021680132</v>
      </c>
      <c r="E676" t="s">
        <v>1532</v>
      </c>
      <c r="F676" t="s">
        <v>1178</v>
      </c>
      <c r="G676">
        <v>1</v>
      </c>
      <c r="H676" t="s">
        <v>18</v>
      </c>
      <c r="I676" t="s">
        <v>16</v>
      </c>
      <c r="J676" t="s">
        <v>1525</v>
      </c>
      <c r="L676" t="s">
        <v>18</v>
      </c>
      <c r="M676" t="s">
        <v>522</v>
      </c>
    </row>
    <row r="677" spans="2:13" x14ac:dyDescent="0.25">
      <c r="B677" t="s">
        <v>1518</v>
      </c>
      <c r="C677">
        <v>13197770</v>
      </c>
      <c r="D677" t="str">
        <f>"4630021680149"</f>
        <v>4630021680149</v>
      </c>
      <c r="E677" t="s">
        <v>1533</v>
      </c>
      <c r="F677" t="s">
        <v>1534</v>
      </c>
      <c r="G677">
        <v>1</v>
      </c>
      <c r="H677" t="s">
        <v>18</v>
      </c>
      <c r="I677" t="s">
        <v>16</v>
      </c>
      <c r="J677" t="s">
        <v>1525</v>
      </c>
      <c r="L677" t="s">
        <v>18</v>
      </c>
      <c r="M677" t="s">
        <v>522</v>
      </c>
    </row>
    <row r="678" spans="2:13" x14ac:dyDescent="0.25">
      <c r="B678" t="s">
        <v>1518</v>
      </c>
      <c r="C678">
        <v>15802479</v>
      </c>
      <c r="D678" t="str">
        <f>"4627091394366"</f>
        <v>4627091394366</v>
      </c>
      <c r="E678" t="s">
        <v>1535</v>
      </c>
      <c r="F678" t="s">
        <v>242</v>
      </c>
      <c r="G678">
        <v>0</v>
      </c>
      <c r="H678" t="s">
        <v>18</v>
      </c>
      <c r="I678" t="s">
        <v>16</v>
      </c>
      <c r="J678" t="s">
        <v>854</v>
      </c>
      <c r="K678" s="1">
        <v>43013</v>
      </c>
      <c r="L678" t="s">
        <v>18</v>
      </c>
      <c r="M678" t="s">
        <v>1536</v>
      </c>
    </row>
    <row r="679" spans="2:13" x14ac:dyDescent="0.25">
      <c r="B679" t="s">
        <v>1518</v>
      </c>
      <c r="C679">
        <v>15802962</v>
      </c>
      <c r="D679" t="str">
        <f>"4627091394267"</f>
        <v>4627091394267</v>
      </c>
      <c r="E679" t="s">
        <v>1537</v>
      </c>
      <c r="F679" t="s">
        <v>27</v>
      </c>
      <c r="G679">
        <v>1</v>
      </c>
      <c r="H679" t="s">
        <v>18</v>
      </c>
      <c r="I679" t="s">
        <v>16</v>
      </c>
      <c r="J679" t="s">
        <v>854</v>
      </c>
      <c r="L679" t="s">
        <v>18</v>
      </c>
      <c r="M679" t="s">
        <v>1538</v>
      </c>
    </row>
    <row r="680" spans="2:13" x14ac:dyDescent="0.25">
      <c r="B680" t="s">
        <v>1518</v>
      </c>
      <c r="C680">
        <v>15802989</v>
      </c>
      <c r="D680" t="str">
        <f>"4627091394328"</f>
        <v>4627091394328</v>
      </c>
      <c r="E680" t="s">
        <v>1539</v>
      </c>
      <c r="F680" t="s">
        <v>268</v>
      </c>
      <c r="G680">
        <v>0</v>
      </c>
      <c r="H680" t="s">
        <v>18</v>
      </c>
      <c r="I680" t="s">
        <v>754</v>
      </c>
      <c r="J680" t="s">
        <v>854</v>
      </c>
      <c r="K680" s="1">
        <v>42891</v>
      </c>
      <c r="L680" t="s">
        <v>18</v>
      </c>
      <c r="M680" t="s">
        <v>1540</v>
      </c>
    </row>
    <row r="681" spans="2:13" x14ac:dyDescent="0.25">
      <c r="B681" t="s">
        <v>1518</v>
      </c>
      <c r="C681">
        <v>18165882</v>
      </c>
      <c r="D681" t="str">
        <f>"4690231137574"</f>
        <v>4690231137574</v>
      </c>
      <c r="E681" t="s">
        <v>1541</v>
      </c>
      <c r="F681" t="s">
        <v>755</v>
      </c>
      <c r="G681">
        <v>1</v>
      </c>
      <c r="H681" t="s">
        <v>18</v>
      </c>
      <c r="I681" t="s">
        <v>16</v>
      </c>
      <c r="J681" t="s">
        <v>1542</v>
      </c>
      <c r="L681" t="s">
        <v>18</v>
      </c>
      <c r="M681" t="s">
        <v>749</v>
      </c>
    </row>
    <row r="682" spans="2:13" x14ac:dyDescent="0.25">
      <c r="B682" t="s">
        <v>1518</v>
      </c>
      <c r="C682">
        <v>18169904</v>
      </c>
      <c r="D682" t="str">
        <f>"8695024064231"</f>
        <v>8695024064231</v>
      </c>
      <c r="E682" t="s">
        <v>1543</v>
      </c>
      <c r="F682" t="s">
        <v>1524</v>
      </c>
      <c r="G682">
        <v>1</v>
      </c>
      <c r="H682" t="s">
        <v>18</v>
      </c>
      <c r="I682" t="s">
        <v>16</v>
      </c>
      <c r="J682" t="s">
        <v>1544</v>
      </c>
      <c r="L682" t="s">
        <v>18</v>
      </c>
      <c r="M682" t="s">
        <v>1545</v>
      </c>
    </row>
    <row r="683" spans="2:13" x14ac:dyDescent="0.25">
      <c r="B683" t="s">
        <v>1518</v>
      </c>
      <c r="C683">
        <v>18169921</v>
      </c>
      <c r="D683" t="str">
        <f>"8695024052269"</f>
        <v>8695024052269</v>
      </c>
      <c r="E683" t="s">
        <v>1546</v>
      </c>
      <c r="F683" t="s">
        <v>328</v>
      </c>
      <c r="G683">
        <v>1</v>
      </c>
      <c r="H683" t="s">
        <v>18</v>
      </c>
      <c r="I683" t="s">
        <v>16</v>
      </c>
      <c r="J683" t="s">
        <v>1544</v>
      </c>
      <c r="L683" t="s">
        <v>18</v>
      </c>
      <c r="M683" t="s">
        <v>1547</v>
      </c>
    </row>
    <row r="684" spans="2:13" x14ac:dyDescent="0.25">
      <c r="B684" t="s">
        <v>1518</v>
      </c>
      <c r="C684">
        <v>18193605</v>
      </c>
      <c r="D684" t="str">
        <f>"4811244052498"</f>
        <v>4811244052498</v>
      </c>
      <c r="E684" t="s">
        <v>1548</v>
      </c>
      <c r="F684" t="s">
        <v>1549</v>
      </c>
      <c r="G684">
        <v>1</v>
      </c>
      <c r="H684" t="s">
        <v>18</v>
      </c>
      <c r="I684" t="s">
        <v>16</v>
      </c>
      <c r="J684" t="s">
        <v>1550</v>
      </c>
      <c r="L684" t="s">
        <v>18</v>
      </c>
      <c r="M684" t="s">
        <v>1551</v>
      </c>
    </row>
    <row r="685" spans="2:13" x14ac:dyDescent="0.25">
      <c r="B685" t="s">
        <v>1518</v>
      </c>
      <c r="C685">
        <v>18195791</v>
      </c>
      <c r="D685" t="str">
        <f>"4710694562321"</f>
        <v>4710694562321</v>
      </c>
      <c r="E685" t="s">
        <v>1552</v>
      </c>
      <c r="F685" t="s">
        <v>325</v>
      </c>
      <c r="G685">
        <v>1</v>
      </c>
      <c r="H685" t="s">
        <v>18</v>
      </c>
      <c r="I685" t="s">
        <v>16</v>
      </c>
      <c r="J685" t="s">
        <v>1553</v>
      </c>
      <c r="L685" t="s">
        <v>18</v>
      </c>
      <c r="M685" t="s">
        <v>753</v>
      </c>
    </row>
    <row r="686" spans="2:13" x14ac:dyDescent="0.25">
      <c r="B686" t="s">
        <v>1554</v>
      </c>
      <c r="C686">
        <v>18369391</v>
      </c>
      <c r="D686" t="str">
        <f>"4660015181673"</f>
        <v>4660015181673</v>
      </c>
      <c r="E686" t="s">
        <v>1555</v>
      </c>
      <c r="F686" t="s">
        <v>485</v>
      </c>
      <c r="G686">
        <v>1</v>
      </c>
      <c r="H686" t="s">
        <v>18</v>
      </c>
      <c r="I686" t="s">
        <v>16</v>
      </c>
      <c r="J686" t="s">
        <v>1556</v>
      </c>
      <c r="L686" t="s">
        <v>18</v>
      </c>
      <c r="M686" t="s">
        <v>757</v>
      </c>
    </row>
    <row r="687" spans="2:13" x14ac:dyDescent="0.25">
      <c r="B687" t="s">
        <v>1554</v>
      </c>
      <c r="C687">
        <v>18369421</v>
      </c>
      <c r="D687" t="str">
        <f>"4660015187811"</f>
        <v>4660015187811</v>
      </c>
      <c r="E687" t="s">
        <v>1557</v>
      </c>
      <c r="F687" t="s">
        <v>1558</v>
      </c>
      <c r="G687">
        <v>1</v>
      </c>
      <c r="H687" t="s">
        <v>18</v>
      </c>
      <c r="I687" t="s">
        <v>16</v>
      </c>
      <c r="J687" t="s">
        <v>1556</v>
      </c>
      <c r="L687" t="s">
        <v>18</v>
      </c>
      <c r="M687" t="s">
        <v>1559</v>
      </c>
    </row>
    <row r="688" spans="2:13" x14ac:dyDescent="0.25">
      <c r="B688" t="s">
        <v>1554</v>
      </c>
      <c r="C688">
        <v>18369447</v>
      </c>
      <c r="D688" t="str">
        <f>"4660015181383"</f>
        <v>4660015181383</v>
      </c>
      <c r="E688" t="s">
        <v>1560</v>
      </c>
      <c r="F688" t="s">
        <v>1561</v>
      </c>
      <c r="G688">
        <v>1</v>
      </c>
      <c r="H688" t="s">
        <v>18</v>
      </c>
      <c r="I688" t="s">
        <v>16</v>
      </c>
      <c r="J688" t="s">
        <v>1556</v>
      </c>
      <c r="L688" t="s">
        <v>18</v>
      </c>
      <c r="M688" t="s">
        <v>1562</v>
      </c>
    </row>
    <row r="689" spans="2:13" x14ac:dyDescent="0.25">
      <c r="B689" t="s">
        <v>1554</v>
      </c>
      <c r="C689">
        <v>18369463</v>
      </c>
      <c r="D689" t="str">
        <f>"4660015181758"</f>
        <v>4660015181758</v>
      </c>
      <c r="E689" t="s">
        <v>1563</v>
      </c>
      <c r="F689" t="s">
        <v>227</v>
      </c>
      <c r="G689">
        <v>1</v>
      </c>
      <c r="H689" t="s">
        <v>18</v>
      </c>
      <c r="I689" t="s">
        <v>16</v>
      </c>
      <c r="J689" t="s">
        <v>1556</v>
      </c>
      <c r="L689" t="s">
        <v>18</v>
      </c>
      <c r="M689" t="s">
        <v>1564</v>
      </c>
    </row>
    <row r="690" spans="2:13" x14ac:dyDescent="0.25">
      <c r="B690" t="s">
        <v>1554</v>
      </c>
      <c r="C690">
        <v>18369480</v>
      </c>
      <c r="D690" t="str">
        <f>"4660015182045"</f>
        <v>4660015182045</v>
      </c>
      <c r="E690" t="s">
        <v>1565</v>
      </c>
      <c r="F690" t="s">
        <v>277</v>
      </c>
      <c r="G690">
        <v>1</v>
      </c>
      <c r="H690" t="s">
        <v>18</v>
      </c>
      <c r="I690" t="s">
        <v>16</v>
      </c>
      <c r="J690" t="s">
        <v>1556</v>
      </c>
      <c r="L690" t="s">
        <v>18</v>
      </c>
      <c r="M690" t="s">
        <v>1566</v>
      </c>
    </row>
    <row r="691" spans="2:13" x14ac:dyDescent="0.25">
      <c r="B691" t="s">
        <v>1554</v>
      </c>
      <c r="C691">
        <v>18369519</v>
      </c>
      <c r="D691" t="str">
        <f>"4660015181604"</f>
        <v>4660015181604</v>
      </c>
      <c r="E691" t="s">
        <v>1567</v>
      </c>
      <c r="F691" t="s">
        <v>525</v>
      </c>
      <c r="G691">
        <v>1</v>
      </c>
      <c r="H691" t="s">
        <v>18</v>
      </c>
      <c r="I691" t="s">
        <v>16</v>
      </c>
      <c r="J691" t="s">
        <v>1556</v>
      </c>
      <c r="L691" t="s">
        <v>18</v>
      </c>
      <c r="M691" t="s">
        <v>1568</v>
      </c>
    </row>
    <row r="692" spans="2:13" x14ac:dyDescent="0.25">
      <c r="B692" t="s">
        <v>1569</v>
      </c>
      <c r="C692">
        <v>11837316</v>
      </c>
      <c r="D692" t="str">
        <f>"4607133584450"</f>
        <v>4607133584450</v>
      </c>
      <c r="E692" t="s">
        <v>1570</v>
      </c>
      <c r="F692" t="s">
        <v>40</v>
      </c>
      <c r="G692">
        <v>1</v>
      </c>
      <c r="H692" t="s">
        <v>18</v>
      </c>
      <c r="I692" t="s">
        <v>16</v>
      </c>
      <c r="J692" t="s">
        <v>1571</v>
      </c>
      <c r="L692" t="s">
        <v>18</v>
      </c>
      <c r="M692" t="s">
        <v>1572</v>
      </c>
    </row>
    <row r="693" spans="2:13" x14ac:dyDescent="0.25">
      <c r="B693" t="s">
        <v>1569</v>
      </c>
      <c r="C693">
        <v>12517875</v>
      </c>
      <c r="D693" t="str">
        <f>"4607133587093"</f>
        <v>4607133587093</v>
      </c>
      <c r="E693" t="s">
        <v>1573</v>
      </c>
      <c r="F693" t="s">
        <v>170</v>
      </c>
      <c r="G693">
        <v>1</v>
      </c>
      <c r="H693" t="s">
        <v>18</v>
      </c>
      <c r="I693" t="s">
        <v>16</v>
      </c>
      <c r="J693" t="s">
        <v>1571</v>
      </c>
      <c r="L693" t="s">
        <v>18</v>
      </c>
      <c r="M693" t="s">
        <v>1574</v>
      </c>
    </row>
    <row r="694" spans="2:13" x14ac:dyDescent="0.25">
      <c r="B694" t="s">
        <v>1569</v>
      </c>
      <c r="C694">
        <v>12517891</v>
      </c>
      <c r="D694" t="str">
        <f>"4607133587109"</f>
        <v>4607133587109</v>
      </c>
      <c r="E694" t="s">
        <v>1575</v>
      </c>
      <c r="F694" t="s">
        <v>389</v>
      </c>
      <c r="G694">
        <v>1</v>
      </c>
      <c r="H694" t="s">
        <v>18</v>
      </c>
      <c r="I694" t="s">
        <v>16</v>
      </c>
      <c r="J694" t="s">
        <v>1571</v>
      </c>
      <c r="L694" t="s">
        <v>18</v>
      </c>
      <c r="M694" t="s">
        <v>1576</v>
      </c>
    </row>
    <row r="695" spans="2:13" x14ac:dyDescent="0.25">
      <c r="B695" t="s">
        <v>1569</v>
      </c>
      <c r="C695">
        <v>12517912</v>
      </c>
      <c r="D695" t="str">
        <f>"4607133587123"</f>
        <v>4607133587123</v>
      </c>
      <c r="E695" t="s">
        <v>1577</v>
      </c>
      <c r="F695" t="s">
        <v>389</v>
      </c>
      <c r="G695">
        <v>1</v>
      </c>
      <c r="H695" t="s">
        <v>18</v>
      </c>
      <c r="I695" t="s">
        <v>16</v>
      </c>
      <c r="J695" t="s">
        <v>1571</v>
      </c>
      <c r="L695" t="s">
        <v>18</v>
      </c>
      <c r="M695" t="s">
        <v>1397</v>
      </c>
    </row>
    <row r="696" spans="2:13" x14ac:dyDescent="0.25">
      <c r="B696" t="s">
        <v>1569</v>
      </c>
      <c r="C696">
        <v>12517963</v>
      </c>
      <c r="D696" t="str">
        <f>"4607133587130"</f>
        <v>4607133587130</v>
      </c>
      <c r="E696" t="s">
        <v>1578</v>
      </c>
      <c r="F696" t="s">
        <v>1317</v>
      </c>
      <c r="G696">
        <v>1</v>
      </c>
      <c r="H696" t="s">
        <v>18</v>
      </c>
      <c r="I696" t="s">
        <v>16</v>
      </c>
      <c r="J696" t="s">
        <v>1571</v>
      </c>
      <c r="L696" t="s">
        <v>18</v>
      </c>
      <c r="M696" t="s">
        <v>766</v>
      </c>
    </row>
    <row r="697" spans="2:13" x14ac:dyDescent="0.25">
      <c r="B697" t="s">
        <v>1569</v>
      </c>
      <c r="C697">
        <v>12517998</v>
      </c>
      <c r="D697" t="str">
        <f>"4607133587147"</f>
        <v>4607133587147</v>
      </c>
      <c r="E697" t="s">
        <v>1579</v>
      </c>
      <c r="F697" t="s">
        <v>762</v>
      </c>
      <c r="G697">
        <v>1</v>
      </c>
      <c r="H697" t="s">
        <v>18</v>
      </c>
      <c r="I697" t="s">
        <v>16</v>
      </c>
      <c r="J697" t="s">
        <v>1571</v>
      </c>
      <c r="L697" t="s">
        <v>18</v>
      </c>
      <c r="M697" t="s">
        <v>1580</v>
      </c>
    </row>
    <row r="698" spans="2:13" x14ac:dyDescent="0.25">
      <c r="B698" t="s">
        <v>1569</v>
      </c>
      <c r="C698">
        <v>12518093</v>
      </c>
      <c r="D698" t="str">
        <f>"4607133587178"</f>
        <v>4607133587178</v>
      </c>
      <c r="E698" t="s">
        <v>1581</v>
      </c>
      <c r="F698" t="s">
        <v>847</v>
      </c>
      <c r="G698">
        <v>1</v>
      </c>
      <c r="H698" t="s">
        <v>18</v>
      </c>
      <c r="I698" t="s">
        <v>16</v>
      </c>
      <c r="J698" t="s">
        <v>1571</v>
      </c>
      <c r="L698" t="s">
        <v>18</v>
      </c>
      <c r="M698" t="s">
        <v>1549</v>
      </c>
    </row>
    <row r="699" spans="2:13" x14ac:dyDescent="0.25">
      <c r="B699" t="s">
        <v>1569</v>
      </c>
      <c r="C699">
        <v>12518181</v>
      </c>
      <c r="D699" t="str">
        <f>"4607133587079"</f>
        <v>4607133587079</v>
      </c>
      <c r="E699" t="s">
        <v>1582</v>
      </c>
      <c r="F699" t="s">
        <v>242</v>
      </c>
      <c r="G699">
        <v>1</v>
      </c>
      <c r="H699" t="s">
        <v>18</v>
      </c>
      <c r="I699" t="s">
        <v>16</v>
      </c>
      <c r="J699" t="s">
        <v>1571</v>
      </c>
      <c r="L699" t="s">
        <v>18</v>
      </c>
      <c r="M699" t="s">
        <v>1583</v>
      </c>
    </row>
    <row r="700" spans="2:13" x14ac:dyDescent="0.25">
      <c r="B700" t="s">
        <v>1569</v>
      </c>
      <c r="C700">
        <v>12518229</v>
      </c>
      <c r="D700" t="str">
        <f>"4607133587086"</f>
        <v>4607133587086</v>
      </c>
      <c r="E700" t="s">
        <v>1584</v>
      </c>
      <c r="F700" t="s">
        <v>1418</v>
      </c>
      <c r="G700">
        <v>1</v>
      </c>
      <c r="H700" t="s">
        <v>18</v>
      </c>
      <c r="I700" t="s">
        <v>16</v>
      </c>
      <c r="J700" t="s">
        <v>1571</v>
      </c>
      <c r="L700" t="s">
        <v>18</v>
      </c>
      <c r="M700" t="s">
        <v>804</v>
      </c>
    </row>
    <row r="701" spans="2:13" x14ac:dyDescent="0.25">
      <c r="B701" t="s">
        <v>1569</v>
      </c>
      <c r="C701">
        <v>12518317</v>
      </c>
      <c r="D701" t="str">
        <f>"4607133587192"</f>
        <v>4607133587192</v>
      </c>
      <c r="E701" t="s">
        <v>1585</v>
      </c>
      <c r="F701" t="s">
        <v>649</v>
      </c>
      <c r="G701">
        <v>1</v>
      </c>
      <c r="H701" t="s">
        <v>18</v>
      </c>
      <c r="I701" t="s">
        <v>16</v>
      </c>
      <c r="J701" t="s">
        <v>1571</v>
      </c>
      <c r="L701" t="s">
        <v>18</v>
      </c>
      <c r="M701" t="s">
        <v>1586</v>
      </c>
    </row>
    <row r="702" spans="2:13" x14ac:dyDescent="0.25">
      <c r="B702" t="s">
        <v>1569</v>
      </c>
      <c r="C702">
        <v>13019069</v>
      </c>
      <c r="D702" t="str">
        <f>"8595065401197"</f>
        <v>8595065401197</v>
      </c>
      <c r="E702" t="s">
        <v>1587</v>
      </c>
      <c r="F702" t="s">
        <v>491</v>
      </c>
      <c r="G702">
        <v>1</v>
      </c>
      <c r="H702" t="s">
        <v>18</v>
      </c>
      <c r="I702" t="s">
        <v>16</v>
      </c>
      <c r="J702" t="s">
        <v>1150</v>
      </c>
      <c r="L702" t="s">
        <v>18</v>
      </c>
      <c r="M702" t="s">
        <v>1588</v>
      </c>
    </row>
    <row r="703" spans="2:13" x14ac:dyDescent="0.25">
      <c r="B703" t="s">
        <v>1569</v>
      </c>
      <c r="C703">
        <v>13019165</v>
      </c>
      <c r="D703" t="str">
        <f>"8595065401210"</f>
        <v>8595065401210</v>
      </c>
      <c r="E703" t="s">
        <v>1589</v>
      </c>
      <c r="F703" t="s">
        <v>1558</v>
      </c>
      <c r="G703">
        <v>1</v>
      </c>
      <c r="H703" t="s">
        <v>18</v>
      </c>
      <c r="I703" t="s">
        <v>16</v>
      </c>
      <c r="J703" t="s">
        <v>1150</v>
      </c>
      <c r="L703" t="s">
        <v>18</v>
      </c>
      <c r="M703" t="s">
        <v>976</v>
      </c>
    </row>
    <row r="704" spans="2:13" x14ac:dyDescent="0.25">
      <c r="B704" t="s">
        <v>1569</v>
      </c>
      <c r="C704">
        <v>13019202</v>
      </c>
      <c r="D704" t="str">
        <f>"8595065401227"</f>
        <v>8595065401227</v>
      </c>
      <c r="E704" t="s">
        <v>1590</v>
      </c>
      <c r="F704" t="s">
        <v>1016</v>
      </c>
      <c r="G704">
        <v>1</v>
      </c>
      <c r="H704" t="s">
        <v>18</v>
      </c>
      <c r="I704" t="s">
        <v>16</v>
      </c>
      <c r="J704" t="s">
        <v>1150</v>
      </c>
      <c r="L704" t="s">
        <v>18</v>
      </c>
      <c r="M704" t="s">
        <v>1591</v>
      </c>
    </row>
    <row r="705" spans="2:13" x14ac:dyDescent="0.25">
      <c r="B705" t="s">
        <v>1569</v>
      </c>
      <c r="C705">
        <v>13019237</v>
      </c>
      <c r="D705" t="str">
        <f>"8595065401241"</f>
        <v>8595065401241</v>
      </c>
      <c r="E705" t="s">
        <v>1592</v>
      </c>
      <c r="F705" t="s">
        <v>889</v>
      </c>
      <c r="G705">
        <v>1</v>
      </c>
      <c r="H705" t="s">
        <v>18</v>
      </c>
      <c r="I705" t="s">
        <v>16</v>
      </c>
      <c r="J705" t="s">
        <v>1150</v>
      </c>
      <c r="L705" t="s">
        <v>18</v>
      </c>
      <c r="M705" t="s">
        <v>1588</v>
      </c>
    </row>
    <row r="706" spans="2:13" x14ac:dyDescent="0.25">
      <c r="B706" t="s">
        <v>1569</v>
      </c>
      <c r="C706">
        <v>13019245</v>
      </c>
      <c r="D706" t="str">
        <f>"8595065401258"</f>
        <v>8595065401258</v>
      </c>
      <c r="E706" t="s">
        <v>1593</v>
      </c>
      <c r="F706" t="s">
        <v>1594</v>
      </c>
      <c r="G706">
        <v>1</v>
      </c>
      <c r="H706" t="s">
        <v>18</v>
      </c>
      <c r="I706" t="s">
        <v>16</v>
      </c>
      <c r="J706" t="s">
        <v>1150</v>
      </c>
      <c r="L706" t="s">
        <v>18</v>
      </c>
      <c r="M706" t="s">
        <v>1595</v>
      </c>
    </row>
    <row r="707" spans="2:13" x14ac:dyDescent="0.25">
      <c r="B707" t="s">
        <v>1569</v>
      </c>
      <c r="C707">
        <v>13019392</v>
      </c>
      <c r="D707" t="str">
        <f>"8595065401302"</f>
        <v>8595065401302</v>
      </c>
      <c r="E707" t="s">
        <v>1596</v>
      </c>
      <c r="F707" t="s">
        <v>413</v>
      </c>
      <c r="G707">
        <v>0</v>
      </c>
      <c r="H707" t="s">
        <v>18</v>
      </c>
      <c r="I707" t="s">
        <v>754</v>
      </c>
      <c r="J707" t="s">
        <v>1150</v>
      </c>
      <c r="K707" s="1">
        <v>42840</v>
      </c>
      <c r="L707" t="s">
        <v>18</v>
      </c>
      <c r="M707" t="s">
        <v>1597</v>
      </c>
    </row>
    <row r="708" spans="2:13" x14ac:dyDescent="0.25">
      <c r="B708" t="s">
        <v>1569</v>
      </c>
      <c r="C708">
        <v>13019413</v>
      </c>
      <c r="D708" t="str">
        <f>"8595065401326"</f>
        <v>8595065401326</v>
      </c>
      <c r="E708" t="s">
        <v>1598</v>
      </c>
      <c r="F708" t="s">
        <v>277</v>
      </c>
      <c r="G708">
        <v>1</v>
      </c>
      <c r="H708" t="s">
        <v>18</v>
      </c>
      <c r="I708" t="s">
        <v>16</v>
      </c>
      <c r="J708" t="s">
        <v>1150</v>
      </c>
      <c r="L708" t="s">
        <v>18</v>
      </c>
      <c r="M708" t="s">
        <v>1599</v>
      </c>
    </row>
    <row r="709" spans="2:13" x14ac:dyDescent="0.25">
      <c r="B709" t="s">
        <v>1569</v>
      </c>
      <c r="C709">
        <v>13019552</v>
      </c>
      <c r="D709" t="str">
        <f>"8595065401340"</f>
        <v>8595065401340</v>
      </c>
      <c r="E709" t="s">
        <v>1600</v>
      </c>
      <c r="F709" t="s">
        <v>205</v>
      </c>
      <c r="G709">
        <v>1</v>
      </c>
      <c r="H709" t="s">
        <v>18</v>
      </c>
      <c r="I709" t="s">
        <v>16</v>
      </c>
      <c r="J709" t="s">
        <v>1150</v>
      </c>
      <c r="L709" t="s">
        <v>18</v>
      </c>
      <c r="M709" t="s">
        <v>1601</v>
      </c>
    </row>
    <row r="710" spans="2:13" x14ac:dyDescent="0.25">
      <c r="B710" t="s">
        <v>1569</v>
      </c>
      <c r="C710">
        <v>13021855</v>
      </c>
      <c r="D710" t="str">
        <f>"8595065401371"</f>
        <v>8595065401371</v>
      </c>
      <c r="E710" t="s">
        <v>1602</v>
      </c>
      <c r="F710" t="s">
        <v>609</v>
      </c>
      <c r="G710">
        <v>1</v>
      </c>
      <c r="H710" t="s">
        <v>18</v>
      </c>
      <c r="I710" t="s">
        <v>16</v>
      </c>
      <c r="J710" t="s">
        <v>1150</v>
      </c>
      <c r="L710" t="s">
        <v>18</v>
      </c>
      <c r="M710" t="s">
        <v>1603</v>
      </c>
    </row>
    <row r="711" spans="2:13" x14ac:dyDescent="0.25">
      <c r="B711" t="s">
        <v>1569</v>
      </c>
      <c r="C711">
        <v>13021919</v>
      </c>
      <c r="D711" t="str">
        <f>"8595065401425"</f>
        <v>8595065401425</v>
      </c>
      <c r="E711" t="s">
        <v>1604</v>
      </c>
      <c r="F711" t="s">
        <v>188</v>
      </c>
      <c r="G711">
        <v>1</v>
      </c>
      <c r="H711" t="s">
        <v>18</v>
      </c>
      <c r="I711" t="s">
        <v>16</v>
      </c>
      <c r="J711" t="s">
        <v>1150</v>
      </c>
      <c r="L711" t="s">
        <v>18</v>
      </c>
      <c r="M711" t="s">
        <v>1605</v>
      </c>
    </row>
    <row r="712" spans="2:13" x14ac:dyDescent="0.25">
      <c r="B712" t="s">
        <v>1569</v>
      </c>
      <c r="C712">
        <v>13021986</v>
      </c>
      <c r="D712" t="str">
        <f>"8595065401449"</f>
        <v>8595065401449</v>
      </c>
      <c r="E712" t="s">
        <v>1606</v>
      </c>
      <c r="F712" t="s">
        <v>491</v>
      </c>
      <c r="G712">
        <v>1</v>
      </c>
      <c r="H712" t="s">
        <v>18</v>
      </c>
      <c r="I712" t="s">
        <v>16</v>
      </c>
      <c r="J712" t="s">
        <v>1150</v>
      </c>
      <c r="L712" t="s">
        <v>18</v>
      </c>
      <c r="M712" t="s">
        <v>1607</v>
      </c>
    </row>
    <row r="713" spans="2:13" x14ac:dyDescent="0.25">
      <c r="B713" t="s">
        <v>1569</v>
      </c>
      <c r="C713">
        <v>13021994</v>
      </c>
      <c r="D713" t="str">
        <f>"8595065401456"</f>
        <v>8595065401456</v>
      </c>
      <c r="E713" t="s">
        <v>1608</v>
      </c>
      <c r="F713" t="s">
        <v>242</v>
      </c>
      <c r="G713">
        <v>1</v>
      </c>
      <c r="H713" t="s">
        <v>18</v>
      </c>
      <c r="I713" t="s">
        <v>16</v>
      </c>
      <c r="J713" t="s">
        <v>1150</v>
      </c>
      <c r="L713" t="s">
        <v>18</v>
      </c>
      <c r="M713" t="s">
        <v>1609</v>
      </c>
    </row>
    <row r="714" spans="2:13" x14ac:dyDescent="0.25">
      <c r="B714" t="s">
        <v>1569</v>
      </c>
      <c r="C714">
        <v>13022022</v>
      </c>
      <c r="D714" t="str">
        <f>"8595065401487"</f>
        <v>8595065401487</v>
      </c>
      <c r="E714" t="s">
        <v>1610</v>
      </c>
      <c r="F714" t="s">
        <v>406</v>
      </c>
      <c r="G714">
        <v>1</v>
      </c>
      <c r="H714" t="s">
        <v>18</v>
      </c>
      <c r="I714" t="s">
        <v>16</v>
      </c>
      <c r="J714" t="s">
        <v>1150</v>
      </c>
      <c r="L714" t="s">
        <v>18</v>
      </c>
      <c r="M714" t="s">
        <v>1611</v>
      </c>
    </row>
    <row r="715" spans="2:13" x14ac:dyDescent="0.25">
      <c r="B715" t="s">
        <v>1569</v>
      </c>
      <c r="C715">
        <v>13658549</v>
      </c>
      <c r="D715" t="str">
        <f>"4607157116347"</f>
        <v>4607157116347</v>
      </c>
      <c r="E715" t="s">
        <v>1612</v>
      </c>
      <c r="F715" t="s">
        <v>1594</v>
      </c>
      <c r="G715">
        <v>0</v>
      </c>
      <c r="H715" t="s">
        <v>18</v>
      </c>
      <c r="I715" t="s">
        <v>754</v>
      </c>
      <c r="J715" t="s">
        <v>1556</v>
      </c>
      <c r="K715" s="1">
        <v>42850</v>
      </c>
      <c r="L715" t="s">
        <v>18</v>
      </c>
      <c r="M715" t="s">
        <v>1613</v>
      </c>
    </row>
    <row r="716" spans="2:13" x14ac:dyDescent="0.25">
      <c r="B716" t="s">
        <v>1569</v>
      </c>
      <c r="C716">
        <v>14252807</v>
      </c>
      <c r="D716" t="str">
        <f>"4607133583095"</f>
        <v>4607133583095</v>
      </c>
      <c r="E716" t="s">
        <v>1614</v>
      </c>
      <c r="F716" t="s">
        <v>749</v>
      </c>
      <c r="G716">
        <v>1</v>
      </c>
      <c r="H716" t="s">
        <v>18</v>
      </c>
      <c r="I716" t="s">
        <v>16</v>
      </c>
      <c r="J716" t="s">
        <v>1571</v>
      </c>
      <c r="L716" t="s">
        <v>18</v>
      </c>
      <c r="M716" t="s">
        <v>1615</v>
      </c>
    </row>
    <row r="717" spans="2:13" x14ac:dyDescent="0.25">
      <c r="B717" t="s">
        <v>1569</v>
      </c>
      <c r="C717">
        <v>14254060</v>
      </c>
      <c r="D717" t="str">
        <f>"4607133583088"</f>
        <v>4607133583088</v>
      </c>
      <c r="E717" t="s">
        <v>1616</v>
      </c>
      <c r="F717" t="s">
        <v>24</v>
      </c>
      <c r="G717">
        <v>0</v>
      </c>
      <c r="H717" t="s">
        <v>18</v>
      </c>
      <c r="I717" t="s">
        <v>754</v>
      </c>
      <c r="J717" t="s">
        <v>1571</v>
      </c>
      <c r="K717" s="1">
        <v>42840</v>
      </c>
      <c r="L717" t="s">
        <v>18</v>
      </c>
      <c r="M717" t="s">
        <v>1617</v>
      </c>
    </row>
    <row r="718" spans="2:13" x14ac:dyDescent="0.25">
      <c r="B718" t="s">
        <v>1569</v>
      </c>
      <c r="C718">
        <v>14254116</v>
      </c>
      <c r="D718" t="str">
        <f>"4607133583071"</f>
        <v>4607133583071</v>
      </c>
      <c r="E718" t="s">
        <v>1618</v>
      </c>
      <c r="F718" t="s">
        <v>310</v>
      </c>
      <c r="G718">
        <v>1</v>
      </c>
      <c r="H718" t="s">
        <v>18</v>
      </c>
      <c r="I718" t="s">
        <v>16</v>
      </c>
      <c r="J718" t="s">
        <v>1571</v>
      </c>
      <c r="L718" t="s">
        <v>18</v>
      </c>
      <c r="M718" t="s">
        <v>1619</v>
      </c>
    </row>
    <row r="719" spans="2:13" x14ac:dyDescent="0.25">
      <c r="B719" t="s">
        <v>1569</v>
      </c>
      <c r="C719">
        <v>14254546</v>
      </c>
      <c r="D719" t="str">
        <f>"4607133582470"</f>
        <v>4607133582470</v>
      </c>
      <c r="E719" t="s">
        <v>1620</v>
      </c>
      <c r="F719" t="s">
        <v>649</v>
      </c>
      <c r="G719">
        <v>1</v>
      </c>
      <c r="H719" t="s">
        <v>18</v>
      </c>
      <c r="I719" t="s">
        <v>16</v>
      </c>
      <c r="J719" t="s">
        <v>1571</v>
      </c>
      <c r="L719" t="s">
        <v>18</v>
      </c>
      <c r="M719" t="s">
        <v>1621</v>
      </c>
    </row>
    <row r="720" spans="2:13" x14ac:dyDescent="0.25">
      <c r="B720" t="s">
        <v>1569</v>
      </c>
      <c r="C720">
        <v>14254562</v>
      </c>
      <c r="D720" t="str">
        <f>"4607133582302"</f>
        <v>4607133582302</v>
      </c>
      <c r="E720" t="s">
        <v>1622</v>
      </c>
      <c r="F720" t="s">
        <v>1025</v>
      </c>
      <c r="G720">
        <v>1</v>
      </c>
      <c r="H720" t="s">
        <v>18</v>
      </c>
      <c r="I720" t="s">
        <v>16</v>
      </c>
      <c r="J720" t="s">
        <v>1571</v>
      </c>
      <c r="L720" t="s">
        <v>18</v>
      </c>
      <c r="M720" t="s">
        <v>1623</v>
      </c>
    </row>
    <row r="721" spans="2:13" x14ac:dyDescent="0.25">
      <c r="B721" t="s">
        <v>1569</v>
      </c>
      <c r="C721">
        <v>14254626</v>
      </c>
      <c r="D721" t="str">
        <f>"4607133582326"</f>
        <v>4607133582326</v>
      </c>
      <c r="E721" t="s">
        <v>1624</v>
      </c>
      <c r="F721" t="s">
        <v>174</v>
      </c>
      <c r="G721">
        <v>1</v>
      </c>
      <c r="H721" t="s">
        <v>18</v>
      </c>
      <c r="I721" t="s">
        <v>16</v>
      </c>
      <c r="J721" t="s">
        <v>1571</v>
      </c>
      <c r="L721" t="s">
        <v>18</v>
      </c>
      <c r="M721" t="s">
        <v>1625</v>
      </c>
    </row>
    <row r="722" spans="2:13" x14ac:dyDescent="0.25">
      <c r="B722" t="s">
        <v>1569</v>
      </c>
      <c r="C722">
        <v>15405297</v>
      </c>
      <c r="D722" t="str">
        <f>"3276005391567"</f>
        <v>3276005391567</v>
      </c>
      <c r="E722" t="s">
        <v>1626</v>
      </c>
      <c r="F722" t="s">
        <v>410</v>
      </c>
      <c r="G722">
        <v>1</v>
      </c>
      <c r="H722" t="s">
        <v>18</v>
      </c>
      <c r="I722" t="s">
        <v>16</v>
      </c>
      <c r="J722" t="s">
        <v>17</v>
      </c>
      <c r="L722" t="s">
        <v>18</v>
      </c>
      <c r="M722" t="s">
        <v>1627</v>
      </c>
    </row>
    <row r="723" spans="2:13" x14ac:dyDescent="0.25">
      <c r="B723" t="s">
        <v>1569</v>
      </c>
      <c r="C723">
        <v>15405300</v>
      </c>
      <c r="D723" t="str">
        <f>"3276005391529"</f>
        <v>3276005391529</v>
      </c>
      <c r="E723" t="s">
        <v>1628</v>
      </c>
      <c r="F723" t="s">
        <v>191</v>
      </c>
      <c r="G723">
        <v>0</v>
      </c>
      <c r="H723" t="s">
        <v>18</v>
      </c>
      <c r="I723" t="s">
        <v>16</v>
      </c>
      <c r="J723" t="s">
        <v>17</v>
      </c>
      <c r="L723" t="s">
        <v>18</v>
      </c>
      <c r="M723" t="s">
        <v>1629</v>
      </c>
    </row>
    <row r="724" spans="2:13" x14ac:dyDescent="0.25">
      <c r="B724" t="s">
        <v>1569</v>
      </c>
      <c r="C724">
        <v>15405318</v>
      </c>
      <c r="D724" t="str">
        <f>"3276005391208"</f>
        <v>3276005391208</v>
      </c>
      <c r="E724" t="s">
        <v>1630</v>
      </c>
      <c r="F724" t="s">
        <v>227</v>
      </c>
      <c r="G724">
        <v>1</v>
      </c>
      <c r="H724" t="s">
        <v>18</v>
      </c>
      <c r="I724" t="s">
        <v>16</v>
      </c>
      <c r="J724" t="s">
        <v>17</v>
      </c>
      <c r="L724" t="s">
        <v>18</v>
      </c>
      <c r="M724" t="s">
        <v>1631</v>
      </c>
    </row>
    <row r="725" spans="2:13" x14ac:dyDescent="0.25">
      <c r="B725" t="s">
        <v>1569</v>
      </c>
      <c r="C725">
        <v>15405334</v>
      </c>
      <c r="D725" t="str">
        <f>"3276005391444"</f>
        <v>3276005391444</v>
      </c>
      <c r="E725" t="s">
        <v>1632</v>
      </c>
      <c r="F725" t="s">
        <v>847</v>
      </c>
      <c r="G725">
        <v>1</v>
      </c>
      <c r="H725" t="s">
        <v>18</v>
      </c>
      <c r="I725" t="s">
        <v>16</v>
      </c>
      <c r="J725" t="s">
        <v>17</v>
      </c>
      <c r="L725" t="s">
        <v>18</v>
      </c>
      <c r="M725" t="s">
        <v>1633</v>
      </c>
    </row>
    <row r="726" spans="2:13" x14ac:dyDescent="0.25">
      <c r="B726" t="s">
        <v>1569</v>
      </c>
      <c r="C726">
        <v>15405342</v>
      </c>
      <c r="D726" t="str">
        <f>"3276005391406"</f>
        <v>3276005391406</v>
      </c>
      <c r="E726" t="s">
        <v>1634</v>
      </c>
      <c r="F726" t="s">
        <v>191</v>
      </c>
      <c r="G726">
        <v>1</v>
      </c>
      <c r="H726" t="s">
        <v>18</v>
      </c>
      <c r="I726" t="s">
        <v>16</v>
      </c>
      <c r="J726" t="s">
        <v>17</v>
      </c>
      <c r="L726" t="s">
        <v>18</v>
      </c>
      <c r="M726" t="s">
        <v>1635</v>
      </c>
    </row>
    <row r="727" spans="2:13" x14ac:dyDescent="0.25">
      <c r="B727" t="s">
        <v>1569</v>
      </c>
      <c r="C727">
        <v>15405351</v>
      </c>
      <c r="D727" t="str">
        <f>"3276005407435"</f>
        <v>3276005407435</v>
      </c>
      <c r="E727" t="s">
        <v>1636</v>
      </c>
      <c r="F727" t="s">
        <v>40</v>
      </c>
      <c r="G727">
        <v>1</v>
      </c>
      <c r="H727" t="s">
        <v>18</v>
      </c>
      <c r="I727" t="s">
        <v>16</v>
      </c>
      <c r="J727" t="s">
        <v>17</v>
      </c>
      <c r="L727" t="s">
        <v>18</v>
      </c>
      <c r="M727" t="s">
        <v>1637</v>
      </c>
    </row>
    <row r="728" spans="2:13" x14ac:dyDescent="0.25">
      <c r="B728" t="s">
        <v>1569</v>
      </c>
      <c r="C728">
        <v>15405369</v>
      </c>
      <c r="D728" t="str">
        <f>"3276005391369"</f>
        <v>3276005391369</v>
      </c>
      <c r="E728" t="s">
        <v>1638</v>
      </c>
      <c r="F728" t="s">
        <v>205</v>
      </c>
      <c r="G728">
        <v>1</v>
      </c>
      <c r="H728" t="s">
        <v>18</v>
      </c>
      <c r="I728" t="s">
        <v>16</v>
      </c>
      <c r="J728" t="s">
        <v>17</v>
      </c>
      <c r="L728" t="s">
        <v>18</v>
      </c>
      <c r="M728" t="s">
        <v>1639</v>
      </c>
    </row>
    <row r="729" spans="2:13" x14ac:dyDescent="0.25">
      <c r="B729" t="s">
        <v>1569</v>
      </c>
      <c r="C729">
        <v>15405377</v>
      </c>
      <c r="D729" t="str">
        <f>"3276005391321"</f>
        <v>3276005391321</v>
      </c>
      <c r="E729" t="s">
        <v>1640</v>
      </c>
      <c r="F729" t="s">
        <v>406</v>
      </c>
      <c r="G729">
        <v>1</v>
      </c>
      <c r="H729" t="s">
        <v>18</v>
      </c>
      <c r="I729" t="s">
        <v>16</v>
      </c>
      <c r="J729" t="s">
        <v>17</v>
      </c>
      <c r="L729" t="s">
        <v>18</v>
      </c>
      <c r="M729" t="s">
        <v>1639</v>
      </c>
    </row>
    <row r="730" spans="2:13" x14ac:dyDescent="0.25">
      <c r="B730" t="s">
        <v>1569</v>
      </c>
      <c r="C730">
        <v>15405385</v>
      </c>
      <c r="D730" t="str">
        <f>"3276005391284"</f>
        <v>3276005391284</v>
      </c>
      <c r="E730" t="s">
        <v>1641</v>
      </c>
      <c r="F730" t="s">
        <v>410</v>
      </c>
      <c r="G730">
        <v>1</v>
      </c>
      <c r="H730" t="s">
        <v>18</v>
      </c>
      <c r="I730" t="s">
        <v>16</v>
      </c>
      <c r="J730" t="s">
        <v>17</v>
      </c>
      <c r="L730" t="s">
        <v>18</v>
      </c>
      <c r="M730" t="s">
        <v>1623</v>
      </c>
    </row>
    <row r="731" spans="2:13" x14ac:dyDescent="0.25">
      <c r="B731" t="s">
        <v>1569</v>
      </c>
      <c r="C731">
        <v>15405393</v>
      </c>
      <c r="D731" t="str">
        <f>"3276005391246"</f>
        <v>3276005391246</v>
      </c>
      <c r="E731" t="s">
        <v>1642</v>
      </c>
      <c r="F731" t="s">
        <v>109</v>
      </c>
      <c r="G731">
        <v>1</v>
      </c>
      <c r="H731" t="s">
        <v>18</v>
      </c>
      <c r="I731" t="s">
        <v>16</v>
      </c>
      <c r="J731" t="s">
        <v>17</v>
      </c>
      <c r="L731" t="s">
        <v>18</v>
      </c>
      <c r="M731" t="s">
        <v>927</v>
      </c>
    </row>
    <row r="732" spans="2:13" x14ac:dyDescent="0.25">
      <c r="B732" t="s">
        <v>1569</v>
      </c>
      <c r="C732">
        <v>15405406</v>
      </c>
      <c r="D732" t="str">
        <f>"3276005407510"</f>
        <v>3276005407510</v>
      </c>
      <c r="E732" t="s">
        <v>1643</v>
      </c>
      <c r="F732" t="s">
        <v>413</v>
      </c>
      <c r="G732">
        <v>0</v>
      </c>
      <c r="H732" t="s">
        <v>18</v>
      </c>
      <c r="I732" t="s">
        <v>16</v>
      </c>
      <c r="J732" t="s">
        <v>17</v>
      </c>
      <c r="L732" t="s">
        <v>18</v>
      </c>
      <c r="M732" t="s">
        <v>1644</v>
      </c>
    </row>
    <row r="733" spans="2:13" x14ac:dyDescent="0.25">
      <c r="B733" t="s">
        <v>1569</v>
      </c>
      <c r="C733">
        <v>15405414</v>
      </c>
      <c r="D733" t="str">
        <f>"3276005407473"</f>
        <v>3276005407473</v>
      </c>
      <c r="E733" t="s">
        <v>1645</v>
      </c>
      <c r="F733" t="s">
        <v>21</v>
      </c>
      <c r="G733">
        <v>1</v>
      </c>
      <c r="H733" t="s">
        <v>18</v>
      </c>
      <c r="I733" t="s">
        <v>16</v>
      </c>
      <c r="J733" t="s">
        <v>17</v>
      </c>
      <c r="L733" t="s">
        <v>18</v>
      </c>
      <c r="M733" t="s">
        <v>1646</v>
      </c>
    </row>
    <row r="734" spans="2:13" x14ac:dyDescent="0.25">
      <c r="B734" t="s">
        <v>1569</v>
      </c>
      <c r="C734">
        <v>15405422</v>
      </c>
      <c r="D734" t="str">
        <f>"3276005391161"</f>
        <v>3276005391161</v>
      </c>
      <c r="E734" t="s">
        <v>1647</v>
      </c>
      <c r="F734" t="s">
        <v>366</v>
      </c>
      <c r="G734">
        <v>1</v>
      </c>
      <c r="H734" t="s">
        <v>18</v>
      </c>
      <c r="I734" t="s">
        <v>16</v>
      </c>
      <c r="J734" t="s">
        <v>17</v>
      </c>
      <c r="L734" t="s">
        <v>18</v>
      </c>
      <c r="M734" t="s">
        <v>1648</v>
      </c>
    </row>
    <row r="735" spans="2:13" x14ac:dyDescent="0.25">
      <c r="B735" t="s">
        <v>1569</v>
      </c>
      <c r="C735">
        <v>15405431</v>
      </c>
      <c r="D735" t="str">
        <f>"3276005391123"</f>
        <v>3276005391123</v>
      </c>
      <c r="E735" t="s">
        <v>1649</v>
      </c>
      <c r="F735" t="s">
        <v>24</v>
      </c>
      <c r="G735">
        <v>1</v>
      </c>
      <c r="H735" t="s">
        <v>18</v>
      </c>
      <c r="I735" t="s">
        <v>16</v>
      </c>
      <c r="J735" t="s">
        <v>17</v>
      </c>
      <c r="L735" t="s">
        <v>18</v>
      </c>
      <c r="M735" t="s">
        <v>1650</v>
      </c>
    </row>
    <row r="736" spans="2:13" x14ac:dyDescent="0.25">
      <c r="B736" t="s">
        <v>1569</v>
      </c>
      <c r="C736">
        <v>15405449</v>
      </c>
      <c r="D736" t="str">
        <f>"3276005391086"</f>
        <v>3276005391086</v>
      </c>
      <c r="E736" t="s">
        <v>1651</v>
      </c>
      <c r="F736" t="s">
        <v>205</v>
      </c>
      <c r="G736">
        <v>1</v>
      </c>
      <c r="H736" t="s">
        <v>18</v>
      </c>
      <c r="I736" t="s">
        <v>16</v>
      </c>
      <c r="J736" t="s">
        <v>17</v>
      </c>
      <c r="L736" t="s">
        <v>18</v>
      </c>
      <c r="M736" t="s">
        <v>1652</v>
      </c>
    </row>
    <row r="737" spans="2:13" x14ac:dyDescent="0.25">
      <c r="B737" t="s">
        <v>1569</v>
      </c>
      <c r="C737">
        <v>15405457</v>
      </c>
      <c r="D737" t="str">
        <f>"3276005391048"</f>
        <v>3276005391048</v>
      </c>
      <c r="E737" t="s">
        <v>1653</v>
      </c>
      <c r="F737" t="s">
        <v>410</v>
      </c>
      <c r="G737">
        <v>1</v>
      </c>
      <c r="H737" t="s">
        <v>18</v>
      </c>
      <c r="I737" t="s">
        <v>16</v>
      </c>
      <c r="J737" t="s">
        <v>17</v>
      </c>
      <c r="L737" t="s">
        <v>18</v>
      </c>
      <c r="M737" t="s">
        <v>1654</v>
      </c>
    </row>
    <row r="738" spans="2:13" x14ac:dyDescent="0.25">
      <c r="B738" t="s">
        <v>1569</v>
      </c>
      <c r="C738">
        <v>15493320</v>
      </c>
      <c r="D738" t="str">
        <f>"3276005377639"</f>
        <v>3276005377639</v>
      </c>
      <c r="E738" t="s">
        <v>1655</v>
      </c>
      <c r="F738" t="s">
        <v>48</v>
      </c>
      <c r="G738">
        <v>1</v>
      </c>
      <c r="H738" t="s">
        <v>18</v>
      </c>
      <c r="I738" t="s">
        <v>16</v>
      </c>
      <c r="J738" t="s">
        <v>28</v>
      </c>
      <c r="L738" t="s">
        <v>18</v>
      </c>
      <c r="M738" t="s">
        <v>1656</v>
      </c>
    </row>
    <row r="739" spans="2:13" x14ac:dyDescent="0.25">
      <c r="B739" t="s">
        <v>1569</v>
      </c>
      <c r="C739">
        <v>15493338</v>
      </c>
      <c r="D739" t="str">
        <f>"3276005377592"</f>
        <v>3276005377592</v>
      </c>
      <c r="E739" t="s">
        <v>1657</v>
      </c>
      <c r="F739" t="s">
        <v>24</v>
      </c>
      <c r="G739">
        <v>1</v>
      </c>
      <c r="H739" t="s">
        <v>18</v>
      </c>
      <c r="I739" t="s">
        <v>16</v>
      </c>
      <c r="J739" t="s">
        <v>17</v>
      </c>
      <c r="L739" t="s">
        <v>18</v>
      </c>
      <c r="M739" t="s">
        <v>1658</v>
      </c>
    </row>
    <row r="740" spans="2:13" x14ac:dyDescent="0.25">
      <c r="B740" t="s">
        <v>1569</v>
      </c>
      <c r="C740">
        <v>15493346</v>
      </c>
      <c r="D740" t="str">
        <f>"3276005377554"</f>
        <v>3276005377554</v>
      </c>
      <c r="E740" t="s">
        <v>1659</v>
      </c>
      <c r="F740" t="s">
        <v>24</v>
      </c>
      <c r="G740">
        <v>0</v>
      </c>
      <c r="H740" t="s">
        <v>18</v>
      </c>
      <c r="I740" t="s">
        <v>16</v>
      </c>
      <c r="J740" t="s">
        <v>17</v>
      </c>
      <c r="L740" t="s">
        <v>18</v>
      </c>
      <c r="M740" t="s">
        <v>1611</v>
      </c>
    </row>
    <row r="741" spans="2:13" x14ac:dyDescent="0.25">
      <c r="B741" t="s">
        <v>1569</v>
      </c>
      <c r="C741">
        <v>15493354</v>
      </c>
      <c r="D741" t="str">
        <f>"3276005377479"</f>
        <v>3276005377479</v>
      </c>
      <c r="E741" t="s">
        <v>1660</v>
      </c>
      <c r="F741" t="s">
        <v>48</v>
      </c>
      <c r="G741">
        <v>0</v>
      </c>
      <c r="H741" t="s">
        <v>18</v>
      </c>
      <c r="I741" t="s">
        <v>16</v>
      </c>
      <c r="J741" t="s">
        <v>17</v>
      </c>
      <c r="L741" t="s">
        <v>18</v>
      </c>
      <c r="M741" t="s">
        <v>1661</v>
      </c>
    </row>
    <row r="742" spans="2:13" x14ac:dyDescent="0.25">
      <c r="B742" t="s">
        <v>1569</v>
      </c>
      <c r="C742">
        <v>15493362</v>
      </c>
      <c r="D742" t="str">
        <f>"3276005377431"</f>
        <v>3276005377431</v>
      </c>
      <c r="E742" t="s">
        <v>1662</v>
      </c>
      <c r="F742" t="s">
        <v>40</v>
      </c>
      <c r="G742">
        <v>1</v>
      </c>
      <c r="H742" t="s">
        <v>18</v>
      </c>
      <c r="I742" t="s">
        <v>16</v>
      </c>
      <c r="J742" t="s">
        <v>17</v>
      </c>
      <c r="L742" t="s">
        <v>18</v>
      </c>
      <c r="M742" t="s">
        <v>1663</v>
      </c>
    </row>
    <row r="743" spans="2:13" x14ac:dyDescent="0.25">
      <c r="B743" t="s">
        <v>1569</v>
      </c>
      <c r="C743">
        <v>15493389</v>
      </c>
      <c r="D743" t="str">
        <f>"3276005377318"</f>
        <v>3276005377318</v>
      </c>
      <c r="E743" t="s">
        <v>1664</v>
      </c>
      <c r="F743" t="s">
        <v>285</v>
      </c>
      <c r="G743">
        <v>0</v>
      </c>
      <c r="H743" t="s">
        <v>18</v>
      </c>
      <c r="I743" t="s">
        <v>16</v>
      </c>
      <c r="J743" t="s">
        <v>17</v>
      </c>
      <c r="L743" t="s">
        <v>18</v>
      </c>
      <c r="M743" t="s">
        <v>1665</v>
      </c>
    </row>
    <row r="744" spans="2:13" x14ac:dyDescent="0.25">
      <c r="B744" t="s">
        <v>1569</v>
      </c>
      <c r="C744">
        <v>15493397</v>
      </c>
      <c r="D744" t="str">
        <f>"3276005377271"</f>
        <v>3276005377271</v>
      </c>
      <c r="E744" t="s">
        <v>1666</v>
      </c>
      <c r="F744" t="s">
        <v>40</v>
      </c>
      <c r="G744">
        <v>1</v>
      </c>
      <c r="H744" t="s">
        <v>18</v>
      </c>
      <c r="I744" t="s">
        <v>16</v>
      </c>
      <c r="J744" t="s">
        <v>28</v>
      </c>
      <c r="L744" t="s">
        <v>18</v>
      </c>
      <c r="M744" t="s">
        <v>1667</v>
      </c>
    </row>
    <row r="745" spans="2:13" x14ac:dyDescent="0.25">
      <c r="B745" t="s">
        <v>1569</v>
      </c>
      <c r="C745">
        <v>15493400</v>
      </c>
      <c r="D745" t="str">
        <f>"3276005377196"</f>
        <v>3276005377196</v>
      </c>
      <c r="E745" t="s">
        <v>1668</v>
      </c>
      <c r="F745" t="s">
        <v>410</v>
      </c>
      <c r="G745">
        <v>1</v>
      </c>
      <c r="H745" t="s">
        <v>18</v>
      </c>
      <c r="I745" t="s">
        <v>16</v>
      </c>
      <c r="J745" t="s">
        <v>28</v>
      </c>
      <c r="L745" t="s">
        <v>18</v>
      </c>
      <c r="M745" t="s">
        <v>1669</v>
      </c>
    </row>
    <row r="746" spans="2:13" x14ac:dyDescent="0.25">
      <c r="B746" t="s">
        <v>1569</v>
      </c>
      <c r="C746">
        <v>15493418</v>
      </c>
      <c r="D746" t="str">
        <f>"3276005377158"</f>
        <v>3276005377158</v>
      </c>
      <c r="E746" t="s">
        <v>1670</v>
      </c>
      <c r="F746" t="s">
        <v>31</v>
      </c>
      <c r="G746">
        <v>0</v>
      </c>
      <c r="H746" t="s">
        <v>18</v>
      </c>
      <c r="I746" t="s">
        <v>16</v>
      </c>
      <c r="J746" t="s">
        <v>28</v>
      </c>
      <c r="L746" t="s">
        <v>18</v>
      </c>
      <c r="M746" t="s">
        <v>1671</v>
      </c>
    </row>
    <row r="747" spans="2:13" x14ac:dyDescent="0.25">
      <c r="B747" t="s">
        <v>1569</v>
      </c>
      <c r="C747">
        <v>15493434</v>
      </c>
      <c r="D747" t="str">
        <f>"3276005377073"</f>
        <v>3276005377073</v>
      </c>
      <c r="E747" t="s">
        <v>1672</v>
      </c>
      <c r="F747" t="s">
        <v>379</v>
      </c>
      <c r="G747">
        <v>0</v>
      </c>
      <c r="H747" t="s">
        <v>18</v>
      </c>
      <c r="I747" t="s">
        <v>16</v>
      </c>
      <c r="J747" t="s">
        <v>28</v>
      </c>
      <c r="L747" t="s">
        <v>18</v>
      </c>
      <c r="M747" t="s">
        <v>1673</v>
      </c>
    </row>
    <row r="748" spans="2:13" x14ac:dyDescent="0.25">
      <c r="B748" t="s">
        <v>1569</v>
      </c>
      <c r="C748">
        <v>15493442</v>
      </c>
      <c r="D748" t="str">
        <f>"3276005377035"</f>
        <v>3276005377035</v>
      </c>
      <c r="E748" t="s">
        <v>1674</v>
      </c>
      <c r="F748" t="s">
        <v>379</v>
      </c>
      <c r="G748">
        <v>1</v>
      </c>
      <c r="H748" t="s">
        <v>18</v>
      </c>
      <c r="I748" t="s">
        <v>16</v>
      </c>
      <c r="J748" t="s">
        <v>17</v>
      </c>
      <c r="L748" t="s">
        <v>18</v>
      </c>
      <c r="M748" t="s">
        <v>1673</v>
      </c>
    </row>
    <row r="749" spans="2:13" x14ac:dyDescent="0.25">
      <c r="B749" t="s">
        <v>1569</v>
      </c>
      <c r="C749">
        <v>15493451</v>
      </c>
      <c r="D749" t="str">
        <f>"3276005376991"</f>
        <v>3276005376991</v>
      </c>
      <c r="E749" t="s">
        <v>1675</v>
      </c>
      <c r="F749" t="s">
        <v>43</v>
      </c>
      <c r="G749">
        <v>1</v>
      </c>
      <c r="H749" t="s">
        <v>18</v>
      </c>
      <c r="I749" t="s">
        <v>16</v>
      </c>
      <c r="J749" t="s">
        <v>28</v>
      </c>
      <c r="L749" t="s">
        <v>18</v>
      </c>
      <c r="M749" t="s">
        <v>1676</v>
      </c>
    </row>
    <row r="750" spans="2:13" x14ac:dyDescent="0.25">
      <c r="B750" t="s">
        <v>1569</v>
      </c>
      <c r="C750">
        <v>15493477</v>
      </c>
      <c r="D750" t="str">
        <f>"3276005376953"</f>
        <v>3276005376953</v>
      </c>
      <c r="E750" t="s">
        <v>1677</v>
      </c>
      <c r="F750" t="s">
        <v>24</v>
      </c>
      <c r="G750">
        <v>0</v>
      </c>
      <c r="H750" t="s">
        <v>18</v>
      </c>
      <c r="I750" t="s">
        <v>16</v>
      </c>
      <c r="J750" t="s">
        <v>17</v>
      </c>
      <c r="L750" t="s">
        <v>18</v>
      </c>
      <c r="M750" t="s">
        <v>1678</v>
      </c>
    </row>
    <row r="751" spans="2:13" x14ac:dyDescent="0.25">
      <c r="B751" t="s">
        <v>1569</v>
      </c>
      <c r="C751">
        <v>15630857</v>
      </c>
      <c r="D751" t="str">
        <f>"8595593005355"</f>
        <v>8595593005355</v>
      </c>
      <c r="E751" t="s">
        <v>1679</v>
      </c>
      <c r="F751" t="s">
        <v>31</v>
      </c>
      <c r="G751">
        <v>0</v>
      </c>
      <c r="H751" t="s">
        <v>18</v>
      </c>
      <c r="I751" t="s">
        <v>16</v>
      </c>
      <c r="J751" t="s">
        <v>1150</v>
      </c>
      <c r="K751" s="1">
        <v>42983</v>
      </c>
      <c r="L751" t="s">
        <v>18</v>
      </c>
      <c r="M751" t="s">
        <v>1680</v>
      </c>
    </row>
    <row r="752" spans="2:13" x14ac:dyDescent="0.25">
      <c r="B752" t="s">
        <v>1569</v>
      </c>
      <c r="C752">
        <v>15718322</v>
      </c>
      <c r="D752" t="str">
        <f>"4680018341584"</f>
        <v>4680018341584</v>
      </c>
      <c r="E752" t="s">
        <v>1681</v>
      </c>
      <c r="F752" t="s">
        <v>624</v>
      </c>
      <c r="G752">
        <v>1</v>
      </c>
      <c r="H752" t="s">
        <v>18</v>
      </c>
      <c r="I752" t="s">
        <v>16</v>
      </c>
      <c r="J752" t="s">
        <v>1682</v>
      </c>
      <c r="L752" t="s">
        <v>18</v>
      </c>
      <c r="M752" t="s">
        <v>1683</v>
      </c>
    </row>
    <row r="753" spans="2:13" x14ac:dyDescent="0.25">
      <c r="B753" t="s">
        <v>1569</v>
      </c>
      <c r="C753">
        <v>15718349</v>
      </c>
      <c r="D753" t="str">
        <f>"4680018341591"</f>
        <v>4680018341591</v>
      </c>
      <c r="E753" t="s">
        <v>1684</v>
      </c>
      <c r="F753" t="s">
        <v>1685</v>
      </c>
      <c r="G753">
        <v>1</v>
      </c>
      <c r="H753" t="s">
        <v>18</v>
      </c>
      <c r="I753" t="s">
        <v>16</v>
      </c>
      <c r="J753" t="s">
        <v>1682</v>
      </c>
      <c r="L753" t="s">
        <v>18</v>
      </c>
      <c r="M753" t="s">
        <v>1686</v>
      </c>
    </row>
    <row r="754" spans="2:13" x14ac:dyDescent="0.25">
      <c r="B754" t="s">
        <v>1569</v>
      </c>
      <c r="C754">
        <v>15718365</v>
      </c>
      <c r="D754" t="str">
        <f>"4680018341560"</f>
        <v>4680018341560</v>
      </c>
      <c r="E754" t="s">
        <v>1687</v>
      </c>
      <c r="F754" t="s">
        <v>1688</v>
      </c>
      <c r="G754">
        <v>1</v>
      </c>
      <c r="H754" t="s">
        <v>18</v>
      </c>
      <c r="I754" t="s">
        <v>16</v>
      </c>
      <c r="J754" t="s">
        <v>1682</v>
      </c>
      <c r="L754" t="s">
        <v>18</v>
      </c>
      <c r="M754" t="s">
        <v>1689</v>
      </c>
    </row>
    <row r="755" spans="2:13" x14ac:dyDescent="0.25">
      <c r="B755" t="s">
        <v>1569</v>
      </c>
      <c r="C755">
        <v>15718373</v>
      </c>
      <c r="D755" t="str">
        <f>"4680018340020"</f>
        <v>4680018340020</v>
      </c>
      <c r="E755" t="s">
        <v>1690</v>
      </c>
      <c r="F755" t="s">
        <v>751</v>
      </c>
      <c r="G755">
        <v>1</v>
      </c>
      <c r="H755" t="s">
        <v>18</v>
      </c>
      <c r="I755" t="s">
        <v>16</v>
      </c>
      <c r="J755" t="s">
        <v>1682</v>
      </c>
      <c r="L755" t="s">
        <v>18</v>
      </c>
      <c r="M755" t="s">
        <v>307</v>
      </c>
    </row>
    <row r="756" spans="2:13" x14ac:dyDescent="0.25">
      <c r="B756" t="s">
        <v>1569</v>
      </c>
      <c r="C756">
        <v>15718381</v>
      </c>
      <c r="D756" t="str">
        <f>"4680018340846"</f>
        <v>4680018340846</v>
      </c>
      <c r="E756" t="s">
        <v>1691</v>
      </c>
      <c r="F756" t="s">
        <v>1692</v>
      </c>
      <c r="G756">
        <v>1</v>
      </c>
      <c r="H756" t="s">
        <v>18</v>
      </c>
      <c r="I756" t="s">
        <v>16</v>
      </c>
      <c r="J756" t="s">
        <v>1682</v>
      </c>
      <c r="L756" t="s">
        <v>18</v>
      </c>
      <c r="M756" t="s">
        <v>1693</v>
      </c>
    </row>
    <row r="757" spans="2:13" x14ac:dyDescent="0.25">
      <c r="B757" t="s">
        <v>1569</v>
      </c>
      <c r="C757">
        <v>15802807</v>
      </c>
      <c r="D757" t="str">
        <f>"4627091394571"</f>
        <v>4627091394571</v>
      </c>
      <c r="E757" t="s">
        <v>1694</v>
      </c>
      <c r="F757" t="s">
        <v>43</v>
      </c>
      <c r="G757">
        <v>1</v>
      </c>
      <c r="H757" t="s">
        <v>18</v>
      </c>
      <c r="I757" t="s">
        <v>16</v>
      </c>
      <c r="J757" t="s">
        <v>854</v>
      </c>
      <c r="L757" t="s">
        <v>18</v>
      </c>
      <c r="M757" t="s">
        <v>1566</v>
      </c>
    </row>
    <row r="758" spans="2:13" x14ac:dyDescent="0.25">
      <c r="B758" t="s">
        <v>1569</v>
      </c>
      <c r="C758">
        <v>15802831</v>
      </c>
      <c r="D758" t="str">
        <f>"4627091394588"</f>
        <v>4627091394588</v>
      </c>
      <c r="E758" t="s">
        <v>1695</v>
      </c>
      <c r="F758" t="s">
        <v>40</v>
      </c>
      <c r="G758">
        <v>0</v>
      </c>
      <c r="H758" t="s">
        <v>18</v>
      </c>
      <c r="I758" t="s">
        <v>16</v>
      </c>
      <c r="J758" t="s">
        <v>854</v>
      </c>
      <c r="L758" t="s">
        <v>18</v>
      </c>
      <c r="M758" t="s">
        <v>1696</v>
      </c>
    </row>
    <row r="759" spans="2:13" x14ac:dyDescent="0.25">
      <c r="B759" t="s">
        <v>1569</v>
      </c>
      <c r="C759">
        <v>15802858</v>
      </c>
      <c r="D759" t="str">
        <f>"4627091394595"</f>
        <v>4627091394595</v>
      </c>
      <c r="E759" t="s">
        <v>1697</v>
      </c>
      <c r="F759" t="s">
        <v>48</v>
      </c>
      <c r="G759">
        <v>0</v>
      </c>
      <c r="H759" t="s">
        <v>18</v>
      </c>
      <c r="I759" t="s">
        <v>754</v>
      </c>
      <c r="J759" t="s">
        <v>854</v>
      </c>
      <c r="K759" s="1">
        <v>42860</v>
      </c>
      <c r="L759" t="s">
        <v>18</v>
      </c>
      <c r="M759" t="s">
        <v>1698</v>
      </c>
    </row>
    <row r="760" spans="2:13" x14ac:dyDescent="0.25">
      <c r="B760" t="s">
        <v>1569</v>
      </c>
      <c r="C760">
        <v>15802866</v>
      </c>
      <c r="D760" t="str">
        <f>"4627091394564"</f>
        <v>4627091394564</v>
      </c>
      <c r="E760" t="s">
        <v>1699</v>
      </c>
      <c r="F760" t="s">
        <v>379</v>
      </c>
      <c r="G760">
        <v>1</v>
      </c>
      <c r="H760" t="s">
        <v>18</v>
      </c>
      <c r="I760" t="s">
        <v>16</v>
      </c>
      <c r="J760" t="s">
        <v>854</v>
      </c>
      <c r="L760" t="s">
        <v>18</v>
      </c>
      <c r="M760" t="s">
        <v>1700</v>
      </c>
    </row>
    <row r="761" spans="2:13" x14ac:dyDescent="0.25">
      <c r="B761" t="s">
        <v>1569</v>
      </c>
      <c r="C761">
        <v>15866350</v>
      </c>
      <c r="D761" t="str">
        <f>"4650062703027"</f>
        <v>4650062703027</v>
      </c>
      <c r="E761" t="s">
        <v>1701</v>
      </c>
      <c r="F761" t="s">
        <v>14</v>
      </c>
      <c r="G761">
        <v>0</v>
      </c>
      <c r="H761" t="s">
        <v>18</v>
      </c>
      <c r="I761" t="s">
        <v>754</v>
      </c>
      <c r="J761" t="s">
        <v>1571</v>
      </c>
      <c r="K761" s="1">
        <v>42840</v>
      </c>
      <c r="L761" t="s">
        <v>18</v>
      </c>
      <c r="M761" t="s">
        <v>1702</v>
      </c>
    </row>
    <row r="762" spans="2:13" x14ac:dyDescent="0.25">
      <c r="B762" t="s">
        <v>1569</v>
      </c>
      <c r="C762">
        <v>15866384</v>
      </c>
      <c r="D762" t="str">
        <f>"4650062702983"</f>
        <v>4650062702983</v>
      </c>
      <c r="E762" t="s">
        <v>1703</v>
      </c>
      <c r="F762" t="s">
        <v>31</v>
      </c>
      <c r="G762">
        <v>0</v>
      </c>
      <c r="H762" t="s">
        <v>18</v>
      </c>
      <c r="I762" t="s">
        <v>754</v>
      </c>
      <c r="J762" t="s">
        <v>1571</v>
      </c>
      <c r="K762" s="1">
        <v>42840</v>
      </c>
      <c r="L762" t="s">
        <v>18</v>
      </c>
      <c r="M762" t="s">
        <v>1704</v>
      </c>
    </row>
    <row r="763" spans="2:13" x14ac:dyDescent="0.25">
      <c r="B763" t="s">
        <v>1569</v>
      </c>
      <c r="C763">
        <v>15866405</v>
      </c>
      <c r="D763" t="str">
        <f>"4650062703058"</f>
        <v>4650062703058</v>
      </c>
      <c r="E763" t="s">
        <v>1705</v>
      </c>
      <c r="F763" t="s">
        <v>40</v>
      </c>
      <c r="G763">
        <v>0</v>
      </c>
      <c r="H763" t="s">
        <v>18</v>
      </c>
      <c r="I763" t="s">
        <v>754</v>
      </c>
      <c r="J763" t="s">
        <v>1571</v>
      </c>
      <c r="K763" s="1">
        <v>42840</v>
      </c>
      <c r="L763" t="s">
        <v>18</v>
      </c>
      <c r="M763" t="s">
        <v>1706</v>
      </c>
    </row>
    <row r="764" spans="2:13" x14ac:dyDescent="0.25">
      <c r="B764" t="s">
        <v>1569</v>
      </c>
      <c r="C764">
        <v>15866430</v>
      </c>
      <c r="D764" t="str">
        <f>"4650062703003"</f>
        <v>4650062703003</v>
      </c>
      <c r="E764" t="s">
        <v>1707</v>
      </c>
      <c r="F764" t="s">
        <v>48</v>
      </c>
      <c r="G764">
        <v>0</v>
      </c>
      <c r="H764" t="s">
        <v>18</v>
      </c>
      <c r="I764" t="s">
        <v>754</v>
      </c>
      <c r="J764" t="s">
        <v>1571</v>
      </c>
      <c r="K764" s="1">
        <v>42840</v>
      </c>
      <c r="L764" t="s">
        <v>18</v>
      </c>
      <c r="M764" t="s">
        <v>1708</v>
      </c>
    </row>
    <row r="765" spans="2:13" x14ac:dyDescent="0.25">
      <c r="B765" t="s">
        <v>1569</v>
      </c>
      <c r="C765">
        <v>15866481</v>
      </c>
      <c r="D765" t="str">
        <f>"4650062702976"</f>
        <v>4650062702976</v>
      </c>
      <c r="E765" t="s">
        <v>1709</v>
      </c>
      <c r="F765" t="s">
        <v>34</v>
      </c>
      <c r="G765">
        <v>0</v>
      </c>
      <c r="H765" t="s">
        <v>18</v>
      </c>
      <c r="I765" t="s">
        <v>754</v>
      </c>
      <c r="J765" t="s">
        <v>1571</v>
      </c>
      <c r="K765" s="1">
        <v>42840</v>
      </c>
      <c r="L765" t="s">
        <v>18</v>
      </c>
      <c r="M765" t="s">
        <v>1710</v>
      </c>
    </row>
    <row r="766" spans="2:13" x14ac:dyDescent="0.25">
      <c r="B766" t="s">
        <v>1569</v>
      </c>
      <c r="C766">
        <v>16321298</v>
      </c>
      <c r="D766" t="str">
        <f>"4660015181123"</f>
        <v>4660015181123</v>
      </c>
      <c r="E766" t="s">
        <v>1711</v>
      </c>
      <c r="F766" t="s">
        <v>24</v>
      </c>
      <c r="G766">
        <v>0</v>
      </c>
      <c r="H766" t="s">
        <v>18</v>
      </c>
      <c r="I766" t="s">
        <v>754</v>
      </c>
      <c r="J766" t="s">
        <v>1556</v>
      </c>
      <c r="K766" s="1">
        <v>42840</v>
      </c>
      <c r="L766" t="s">
        <v>18</v>
      </c>
      <c r="M766" t="s">
        <v>1712</v>
      </c>
    </row>
    <row r="767" spans="2:13" x14ac:dyDescent="0.25">
      <c r="B767" t="s">
        <v>1569</v>
      </c>
      <c r="C767">
        <v>16321335</v>
      </c>
      <c r="D767" t="str">
        <f>"4660015181352"</f>
        <v>4660015181352</v>
      </c>
      <c r="E767" t="s">
        <v>1713</v>
      </c>
      <c r="F767" t="s">
        <v>34</v>
      </c>
      <c r="G767">
        <v>0</v>
      </c>
      <c r="H767" t="s">
        <v>18</v>
      </c>
      <c r="I767" t="s">
        <v>754</v>
      </c>
      <c r="J767" t="s">
        <v>1556</v>
      </c>
      <c r="K767" s="1">
        <v>42840</v>
      </c>
      <c r="L767" t="s">
        <v>18</v>
      </c>
      <c r="M767" t="s">
        <v>1714</v>
      </c>
    </row>
    <row r="768" spans="2:13" x14ac:dyDescent="0.25">
      <c r="B768" t="s">
        <v>1569</v>
      </c>
      <c r="C768">
        <v>16321343</v>
      </c>
      <c r="D768" t="str">
        <f>"4660015181581"</f>
        <v>4660015181581</v>
      </c>
      <c r="E768" t="s">
        <v>1715</v>
      </c>
      <c r="F768" t="s">
        <v>48</v>
      </c>
      <c r="G768">
        <v>0</v>
      </c>
      <c r="H768" t="s">
        <v>18</v>
      </c>
      <c r="I768" t="s">
        <v>754</v>
      </c>
      <c r="J768" t="s">
        <v>1556</v>
      </c>
      <c r="K768" s="1">
        <v>42819</v>
      </c>
      <c r="L768" t="s">
        <v>18</v>
      </c>
      <c r="M768" t="s">
        <v>1716</v>
      </c>
    </row>
    <row r="769" spans="2:13" x14ac:dyDescent="0.25">
      <c r="B769" t="s">
        <v>1569</v>
      </c>
      <c r="C769">
        <v>16321351</v>
      </c>
      <c r="D769" t="str">
        <f>"4660015181642"</f>
        <v>4660015181642</v>
      </c>
      <c r="E769" t="s">
        <v>1717</v>
      </c>
      <c r="F769" t="s">
        <v>31</v>
      </c>
      <c r="G769">
        <v>0</v>
      </c>
      <c r="H769" t="s">
        <v>18</v>
      </c>
      <c r="I769" t="s">
        <v>754</v>
      </c>
      <c r="J769" t="s">
        <v>1556</v>
      </c>
      <c r="K769" s="1">
        <v>42840</v>
      </c>
      <c r="L769" t="s">
        <v>18</v>
      </c>
      <c r="M769" t="s">
        <v>1718</v>
      </c>
    </row>
    <row r="770" spans="2:13" x14ac:dyDescent="0.25">
      <c r="B770" t="s">
        <v>1569</v>
      </c>
      <c r="C770">
        <v>16321378</v>
      </c>
      <c r="D770" t="str">
        <f>"4660015181888"</f>
        <v>4660015181888</v>
      </c>
      <c r="E770" t="s">
        <v>1719</v>
      </c>
      <c r="F770" t="s">
        <v>34</v>
      </c>
      <c r="G770">
        <v>0</v>
      </c>
      <c r="H770" t="s">
        <v>18</v>
      </c>
      <c r="I770" t="s">
        <v>754</v>
      </c>
      <c r="J770" t="s">
        <v>1556</v>
      </c>
      <c r="K770" s="1">
        <v>42840</v>
      </c>
      <c r="L770" t="s">
        <v>18</v>
      </c>
      <c r="M770" t="s">
        <v>1720</v>
      </c>
    </row>
    <row r="771" spans="2:13" x14ac:dyDescent="0.25">
      <c r="B771" t="s">
        <v>1569</v>
      </c>
      <c r="C771">
        <v>16321386</v>
      </c>
      <c r="D771" t="str">
        <f>"4660015182021"</f>
        <v>4660015182021</v>
      </c>
      <c r="E771" t="s">
        <v>1721</v>
      </c>
      <c r="F771" t="s">
        <v>43</v>
      </c>
      <c r="G771">
        <v>0</v>
      </c>
      <c r="H771" t="s">
        <v>18</v>
      </c>
      <c r="I771" t="s">
        <v>754</v>
      </c>
      <c r="J771" t="s">
        <v>1556</v>
      </c>
      <c r="K771" s="1">
        <v>42809</v>
      </c>
      <c r="L771" t="s">
        <v>18</v>
      </c>
      <c r="M771" t="s">
        <v>1722</v>
      </c>
    </row>
    <row r="772" spans="2:13" x14ac:dyDescent="0.25">
      <c r="B772" t="s">
        <v>1569</v>
      </c>
      <c r="C772">
        <v>16698298</v>
      </c>
      <c r="D772" t="str">
        <f>"3276005375444"</f>
        <v>3276005375444</v>
      </c>
      <c r="E772" t="s">
        <v>1723</v>
      </c>
      <c r="F772" t="s">
        <v>24</v>
      </c>
      <c r="G772">
        <v>1</v>
      </c>
      <c r="H772" t="s">
        <v>18</v>
      </c>
      <c r="I772" t="s">
        <v>16</v>
      </c>
      <c r="J772" t="s">
        <v>17</v>
      </c>
      <c r="L772" t="s">
        <v>18</v>
      </c>
      <c r="M772" t="s">
        <v>1650</v>
      </c>
    </row>
    <row r="773" spans="2:13" x14ac:dyDescent="0.25">
      <c r="B773" t="s">
        <v>1569</v>
      </c>
      <c r="C773">
        <v>16698301</v>
      </c>
      <c r="D773" t="str">
        <f>"3276005375406"</f>
        <v>3276005375406</v>
      </c>
      <c r="E773" t="s">
        <v>1724</v>
      </c>
      <c r="F773" t="s">
        <v>413</v>
      </c>
      <c r="G773">
        <v>1</v>
      </c>
      <c r="H773" t="s">
        <v>18</v>
      </c>
      <c r="I773" t="s">
        <v>16</v>
      </c>
      <c r="J773" t="s">
        <v>17</v>
      </c>
      <c r="L773" t="s">
        <v>18</v>
      </c>
      <c r="M773" t="s">
        <v>1725</v>
      </c>
    </row>
    <row r="774" spans="2:13" x14ac:dyDescent="0.25">
      <c r="B774" t="s">
        <v>1569</v>
      </c>
      <c r="C774">
        <v>17705488</v>
      </c>
      <c r="D774" t="str">
        <f>"4607177730431"</f>
        <v>4607177730431</v>
      </c>
      <c r="E774" t="s">
        <v>1726</v>
      </c>
      <c r="F774" t="s">
        <v>43</v>
      </c>
      <c r="G774">
        <v>1</v>
      </c>
      <c r="H774" t="s">
        <v>18</v>
      </c>
      <c r="I774" t="s">
        <v>16</v>
      </c>
      <c r="J774" t="s">
        <v>1150</v>
      </c>
      <c r="L774" t="s">
        <v>18</v>
      </c>
      <c r="M774" t="s">
        <v>1635</v>
      </c>
    </row>
    <row r="775" spans="2:13" x14ac:dyDescent="0.25">
      <c r="B775" t="s">
        <v>1569</v>
      </c>
      <c r="C775">
        <v>17705496</v>
      </c>
      <c r="D775" t="str">
        <f>"4607177730578"</f>
        <v>4607177730578</v>
      </c>
      <c r="E775" t="s">
        <v>1727</v>
      </c>
      <c r="F775" t="s">
        <v>1379</v>
      </c>
      <c r="G775">
        <v>1</v>
      </c>
      <c r="H775" t="s">
        <v>18</v>
      </c>
      <c r="I775" t="s">
        <v>16</v>
      </c>
      <c r="J775" t="s">
        <v>1150</v>
      </c>
      <c r="L775" t="s">
        <v>18</v>
      </c>
      <c r="M775" t="s">
        <v>877</v>
      </c>
    </row>
    <row r="776" spans="2:13" x14ac:dyDescent="0.25">
      <c r="B776" t="s">
        <v>1569</v>
      </c>
      <c r="C776">
        <v>17705509</v>
      </c>
      <c r="D776" t="str">
        <f>"4607177730462"</f>
        <v>4607177730462</v>
      </c>
      <c r="E776" t="s">
        <v>1728</v>
      </c>
      <c r="F776" t="s">
        <v>240</v>
      </c>
      <c r="G776">
        <v>1</v>
      </c>
      <c r="H776" t="s">
        <v>18</v>
      </c>
      <c r="I776" t="s">
        <v>16</v>
      </c>
      <c r="J776" t="s">
        <v>1150</v>
      </c>
      <c r="L776" t="s">
        <v>18</v>
      </c>
      <c r="M776" t="s">
        <v>1729</v>
      </c>
    </row>
    <row r="777" spans="2:13" x14ac:dyDescent="0.25">
      <c r="B777" t="s">
        <v>1569</v>
      </c>
      <c r="C777">
        <v>17705517</v>
      </c>
      <c r="D777" t="str">
        <f>"4607177730394"</f>
        <v>4607177730394</v>
      </c>
      <c r="E777" t="s">
        <v>1730</v>
      </c>
      <c r="F777" t="s">
        <v>1731</v>
      </c>
      <c r="G777">
        <v>1</v>
      </c>
      <c r="H777" t="s">
        <v>18</v>
      </c>
      <c r="I777" t="s">
        <v>16</v>
      </c>
      <c r="J777" t="s">
        <v>1150</v>
      </c>
      <c r="L777" t="s">
        <v>18</v>
      </c>
      <c r="M777" t="s">
        <v>1732</v>
      </c>
    </row>
    <row r="778" spans="2:13" x14ac:dyDescent="0.25">
      <c r="B778" t="s">
        <v>1569</v>
      </c>
      <c r="C778">
        <v>17705541</v>
      </c>
      <c r="D778" t="str">
        <f>"4607177730486"</f>
        <v>4607177730486</v>
      </c>
      <c r="E778" t="s">
        <v>1733</v>
      </c>
      <c r="F778" t="s">
        <v>379</v>
      </c>
      <c r="G778">
        <v>0</v>
      </c>
      <c r="H778" t="s">
        <v>18</v>
      </c>
      <c r="I778" t="s">
        <v>754</v>
      </c>
      <c r="J778" t="s">
        <v>1150</v>
      </c>
      <c r="K778" s="1">
        <v>42840</v>
      </c>
      <c r="L778" t="s">
        <v>18</v>
      </c>
      <c r="M778" t="s">
        <v>1397</v>
      </c>
    </row>
    <row r="779" spans="2:13" x14ac:dyDescent="0.25">
      <c r="B779" t="s">
        <v>1569</v>
      </c>
      <c r="C779">
        <v>17705550</v>
      </c>
      <c r="D779" t="str">
        <f>"4607177730493"</f>
        <v>4607177730493</v>
      </c>
      <c r="E779" t="s">
        <v>1734</v>
      </c>
      <c r="F779" t="s">
        <v>1126</v>
      </c>
      <c r="G779">
        <v>1</v>
      </c>
      <c r="H779" t="s">
        <v>18</v>
      </c>
      <c r="I779" t="s">
        <v>16</v>
      </c>
      <c r="J779" t="s">
        <v>1150</v>
      </c>
      <c r="L779" t="s">
        <v>18</v>
      </c>
      <c r="M779" t="s">
        <v>1735</v>
      </c>
    </row>
    <row r="780" spans="2:13" x14ac:dyDescent="0.25">
      <c r="B780" t="s">
        <v>1569</v>
      </c>
      <c r="C780">
        <v>17705568</v>
      </c>
      <c r="D780" t="str">
        <f>"4607177730516"</f>
        <v>4607177730516</v>
      </c>
      <c r="E780" t="s">
        <v>1736</v>
      </c>
      <c r="F780" t="s">
        <v>109</v>
      </c>
      <c r="G780">
        <v>1</v>
      </c>
      <c r="H780" t="s">
        <v>18</v>
      </c>
      <c r="I780" t="s">
        <v>16</v>
      </c>
      <c r="J780" t="s">
        <v>1150</v>
      </c>
      <c r="L780" t="s">
        <v>18</v>
      </c>
      <c r="M780" t="s">
        <v>633</v>
      </c>
    </row>
    <row r="781" spans="2:13" x14ac:dyDescent="0.25">
      <c r="B781" t="s">
        <v>1569</v>
      </c>
      <c r="C781">
        <v>17705584</v>
      </c>
      <c r="D781" t="str">
        <f>"4607177730561"</f>
        <v>4607177730561</v>
      </c>
      <c r="E781" t="s">
        <v>1737</v>
      </c>
      <c r="F781" t="s">
        <v>21</v>
      </c>
      <c r="G781">
        <v>0</v>
      </c>
      <c r="H781" t="s">
        <v>18</v>
      </c>
      <c r="I781" t="s">
        <v>754</v>
      </c>
      <c r="J781" t="s">
        <v>1150</v>
      </c>
      <c r="K781" s="1">
        <v>42840</v>
      </c>
      <c r="L781" t="s">
        <v>18</v>
      </c>
      <c r="M781" t="s">
        <v>1729</v>
      </c>
    </row>
    <row r="782" spans="2:13" x14ac:dyDescent="0.25">
      <c r="B782" t="s">
        <v>1569</v>
      </c>
      <c r="C782">
        <v>17705621</v>
      </c>
      <c r="D782" t="str">
        <f>"4607043483430"</f>
        <v>4607043483430</v>
      </c>
      <c r="E782" t="s">
        <v>1738</v>
      </c>
      <c r="F782" t="s">
        <v>1239</v>
      </c>
      <c r="G782">
        <v>1</v>
      </c>
      <c r="H782" t="s">
        <v>18</v>
      </c>
      <c r="I782" t="s">
        <v>16</v>
      </c>
      <c r="J782" t="s">
        <v>1150</v>
      </c>
      <c r="L782" t="s">
        <v>18</v>
      </c>
      <c r="M782" t="s">
        <v>1732</v>
      </c>
    </row>
    <row r="783" spans="2:13" x14ac:dyDescent="0.25">
      <c r="B783" t="s">
        <v>1569</v>
      </c>
      <c r="C783">
        <v>18049531</v>
      </c>
      <c r="D783" t="str">
        <f>"8595593006406"</f>
        <v>8595593006406</v>
      </c>
      <c r="E783" t="s">
        <v>1739</v>
      </c>
      <c r="F783" t="s">
        <v>525</v>
      </c>
      <c r="G783">
        <v>1</v>
      </c>
      <c r="H783" t="s">
        <v>18</v>
      </c>
      <c r="I783" t="s">
        <v>16</v>
      </c>
      <c r="J783" t="s">
        <v>1150</v>
      </c>
      <c r="L783" t="s">
        <v>18</v>
      </c>
      <c r="M783" t="s">
        <v>1650</v>
      </c>
    </row>
    <row r="784" spans="2:13" x14ac:dyDescent="0.25">
      <c r="B784" t="s">
        <v>1569</v>
      </c>
      <c r="C784">
        <v>18084564</v>
      </c>
      <c r="D784" t="str">
        <f>"3276200155599"</f>
        <v>3276200155599</v>
      </c>
      <c r="E784" t="s">
        <v>1740</v>
      </c>
      <c r="F784" t="s">
        <v>194</v>
      </c>
      <c r="G784">
        <v>1</v>
      </c>
      <c r="H784" t="s">
        <v>18</v>
      </c>
      <c r="I784" t="s">
        <v>16</v>
      </c>
      <c r="J784" t="s">
        <v>17</v>
      </c>
      <c r="L784" t="s">
        <v>18</v>
      </c>
      <c r="M784" t="s">
        <v>1650</v>
      </c>
    </row>
    <row r="785" spans="2:13" x14ac:dyDescent="0.25">
      <c r="B785" t="s">
        <v>1569</v>
      </c>
      <c r="C785">
        <v>18165461</v>
      </c>
      <c r="D785" t="str">
        <f>"8595593002217"</f>
        <v>8595593002217</v>
      </c>
      <c r="E785" t="s">
        <v>1741</v>
      </c>
      <c r="F785" t="s">
        <v>1742</v>
      </c>
      <c r="G785">
        <v>1</v>
      </c>
      <c r="H785" t="s">
        <v>18</v>
      </c>
      <c r="I785" t="s">
        <v>16</v>
      </c>
      <c r="J785" t="s">
        <v>1150</v>
      </c>
      <c r="L785" t="s">
        <v>18</v>
      </c>
      <c r="M785" t="s">
        <v>1743</v>
      </c>
    </row>
    <row r="786" spans="2:13" x14ac:dyDescent="0.25">
      <c r="B786" t="s">
        <v>1569</v>
      </c>
      <c r="C786">
        <v>18165479</v>
      </c>
      <c r="D786" t="str">
        <f>"8595593002224"</f>
        <v>8595593002224</v>
      </c>
      <c r="E786" t="s">
        <v>1744</v>
      </c>
      <c r="F786" t="s">
        <v>1520</v>
      </c>
      <c r="G786">
        <v>1</v>
      </c>
      <c r="H786" t="s">
        <v>18</v>
      </c>
      <c r="I786" t="s">
        <v>16</v>
      </c>
      <c r="J786" t="s">
        <v>1150</v>
      </c>
      <c r="L786" t="s">
        <v>18</v>
      </c>
      <c r="M786" t="s">
        <v>893</v>
      </c>
    </row>
    <row r="787" spans="2:13" x14ac:dyDescent="0.25">
      <c r="B787" t="s">
        <v>1569</v>
      </c>
      <c r="C787">
        <v>18165508</v>
      </c>
      <c r="D787" t="str">
        <f>"4607177730448"</f>
        <v>4607177730448</v>
      </c>
      <c r="E787" t="s">
        <v>1745</v>
      </c>
      <c r="F787" t="s">
        <v>31</v>
      </c>
      <c r="G787">
        <v>1</v>
      </c>
      <c r="H787" t="s">
        <v>18</v>
      </c>
      <c r="I787" t="s">
        <v>16</v>
      </c>
      <c r="J787" t="s">
        <v>1150</v>
      </c>
      <c r="L787" t="s">
        <v>18</v>
      </c>
      <c r="M787" t="s">
        <v>1746</v>
      </c>
    </row>
    <row r="788" spans="2:13" x14ac:dyDescent="0.25">
      <c r="B788" t="s">
        <v>1569</v>
      </c>
      <c r="C788">
        <v>18169875</v>
      </c>
      <c r="D788" t="str">
        <f>"8695024840200"</f>
        <v>8695024840200</v>
      </c>
      <c r="E788" t="s">
        <v>1747</v>
      </c>
      <c r="F788" t="s">
        <v>466</v>
      </c>
      <c r="G788">
        <v>1</v>
      </c>
      <c r="H788" t="s">
        <v>18</v>
      </c>
      <c r="I788" t="s">
        <v>16</v>
      </c>
      <c r="J788" t="s">
        <v>1544</v>
      </c>
      <c r="L788" t="s">
        <v>18</v>
      </c>
      <c r="M788" t="s">
        <v>1748</v>
      </c>
    </row>
    <row r="789" spans="2:13" x14ac:dyDescent="0.25">
      <c r="B789" t="s">
        <v>1569</v>
      </c>
      <c r="C789">
        <v>18169883</v>
      </c>
      <c r="D789" t="str">
        <f>"8695024852036"</f>
        <v>8695024852036</v>
      </c>
      <c r="E789" t="s">
        <v>1749</v>
      </c>
      <c r="F789" t="s">
        <v>1045</v>
      </c>
      <c r="G789">
        <v>1</v>
      </c>
      <c r="H789" t="s">
        <v>18</v>
      </c>
      <c r="I789" t="s">
        <v>16</v>
      </c>
      <c r="J789" t="s">
        <v>1544</v>
      </c>
      <c r="L789" t="s">
        <v>18</v>
      </c>
      <c r="M789" t="s">
        <v>1650</v>
      </c>
    </row>
    <row r="790" spans="2:13" x14ac:dyDescent="0.25">
      <c r="B790" t="s">
        <v>1569</v>
      </c>
      <c r="C790">
        <v>18169912</v>
      </c>
      <c r="D790" t="str">
        <f>"8695024012010"</f>
        <v>8695024012010</v>
      </c>
      <c r="E790" t="s">
        <v>1750</v>
      </c>
      <c r="F790" t="s">
        <v>525</v>
      </c>
      <c r="G790">
        <v>1</v>
      </c>
      <c r="H790" t="s">
        <v>18</v>
      </c>
      <c r="I790" t="s">
        <v>16</v>
      </c>
      <c r="J790" t="s">
        <v>1544</v>
      </c>
      <c r="L790" t="s">
        <v>18</v>
      </c>
      <c r="M790" t="s">
        <v>1751</v>
      </c>
    </row>
    <row r="791" spans="2:13" x14ac:dyDescent="0.25">
      <c r="B791" t="s">
        <v>1569</v>
      </c>
      <c r="C791">
        <v>18178886</v>
      </c>
      <c r="D791" t="str">
        <f>"4627112611052"</f>
        <v>4627112611052</v>
      </c>
      <c r="E791" t="s">
        <v>1752</v>
      </c>
      <c r="F791" t="s">
        <v>485</v>
      </c>
      <c r="G791">
        <v>1</v>
      </c>
      <c r="H791" t="s">
        <v>18</v>
      </c>
      <c r="I791" t="s">
        <v>16</v>
      </c>
      <c r="J791" t="s">
        <v>892</v>
      </c>
      <c r="L791" t="s">
        <v>18</v>
      </c>
      <c r="M791" t="s">
        <v>1013</v>
      </c>
    </row>
    <row r="792" spans="2:13" x14ac:dyDescent="0.25">
      <c r="B792" t="s">
        <v>1569</v>
      </c>
      <c r="C792">
        <v>18178894</v>
      </c>
      <c r="D792" t="str">
        <f>"4627112611069"</f>
        <v>4627112611069</v>
      </c>
      <c r="E792" t="s">
        <v>1753</v>
      </c>
      <c r="F792" t="s">
        <v>310</v>
      </c>
      <c r="G792">
        <v>1</v>
      </c>
      <c r="H792" t="s">
        <v>18</v>
      </c>
      <c r="I792" t="s">
        <v>16</v>
      </c>
      <c r="J792" t="s">
        <v>892</v>
      </c>
      <c r="L792" t="s">
        <v>18</v>
      </c>
      <c r="M792" t="s">
        <v>1520</v>
      </c>
    </row>
    <row r="793" spans="2:13" x14ac:dyDescent="0.25">
      <c r="B793" t="s">
        <v>1569</v>
      </c>
      <c r="C793">
        <v>18178907</v>
      </c>
      <c r="D793" t="str">
        <f>"4627112611076"</f>
        <v>4627112611076</v>
      </c>
      <c r="E793" t="s">
        <v>1754</v>
      </c>
      <c r="F793" t="s">
        <v>1239</v>
      </c>
      <c r="G793">
        <v>1</v>
      </c>
      <c r="H793" t="s">
        <v>18</v>
      </c>
      <c r="I793" t="s">
        <v>16</v>
      </c>
      <c r="J793" t="s">
        <v>892</v>
      </c>
      <c r="L793" t="s">
        <v>18</v>
      </c>
      <c r="M793" t="s">
        <v>1755</v>
      </c>
    </row>
    <row r="794" spans="2:13" x14ac:dyDescent="0.25">
      <c r="B794" t="s">
        <v>1569</v>
      </c>
      <c r="C794">
        <v>18178915</v>
      </c>
      <c r="D794" t="str">
        <f>"4627112611083"</f>
        <v>4627112611083</v>
      </c>
      <c r="E794" t="s">
        <v>1756</v>
      </c>
      <c r="F794" t="s">
        <v>240</v>
      </c>
      <c r="G794">
        <v>1</v>
      </c>
      <c r="H794" t="s">
        <v>18</v>
      </c>
      <c r="I794" t="s">
        <v>16</v>
      </c>
      <c r="J794" t="s">
        <v>892</v>
      </c>
      <c r="L794" t="s">
        <v>18</v>
      </c>
      <c r="M794" t="s">
        <v>1013</v>
      </c>
    </row>
    <row r="795" spans="2:13" x14ac:dyDescent="0.25">
      <c r="B795" t="s">
        <v>1569</v>
      </c>
      <c r="C795">
        <v>18178923</v>
      </c>
      <c r="D795" t="str">
        <f>"4627112611090"</f>
        <v>4627112611090</v>
      </c>
      <c r="E795" t="s">
        <v>1757</v>
      </c>
      <c r="F795" t="s">
        <v>823</v>
      </c>
      <c r="G795">
        <v>1</v>
      </c>
      <c r="H795" t="s">
        <v>18</v>
      </c>
      <c r="I795" t="s">
        <v>16</v>
      </c>
      <c r="J795" t="s">
        <v>892</v>
      </c>
      <c r="L795" t="s">
        <v>18</v>
      </c>
      <c r="M795" t="s">
        <v>1692</v>
      </c>
    </row>
    <row r="796" spans="2:13" x14ac:dyDescent="0.25">
      <c r="B796" t="s">
        <v>1569</v>
      </c>
      <c r="C796">
        <v>18178931</v>
      </c>
      <c r="D796" t="str">
        <f>"4627112611106"</f>
        <v>4627112611106</v>
      </c>
      <c r="E796" t="s">
        <v>1758</v>
      </c>
      <c r="F796" t="s">
        <v>406</v>
      </c>
      <c r="G796">
        <v>1</v>
      </c>
      <c r="H796" t="s">
        <v>18</v>
      </c>
      <c r="I796" t="s">
        <v>16</v>
      </c>
      <c r="J796" t="s">
        <v>892</v>
      </c>
      <c r="L796" t="s">
        <v>18</v>
      </c>
      <c r="M796" t="s">
        <v>1759</v>
      </c>
    </row>
    <row r="797" spans="2:13" x14ac:dyDescent="0.25">
      <c r="B797" t="s">
        <v>1569</v>
      </c>
      <c r="C797">
        <v>18182789</v>
      </c>
      <c r="D797" t="str">
        <f>"4627091397701"</f>
        <v>4627091397701</v>
      </c>
      <c r="E797" t="s">
        <v>1760</v>
      </c>
      <c r="F797" t="s">
        <v>205</v>
      </c>
      <c r="G797">
        <v>1</v>
      </c>
      <c r="H797" t="s">
        <v>18</v>
      </c>
      <c r="I797" t="s">
        <v>16</v>
      </c>
      <c r="J797" t="s">
        <v>854</v>
      </c>
      <c r="L797" t="s">
        <v>18</v>
      </c>
      <c r="M797" t="s">
        <v>639</v>
      </c>
    </row>
    <row r="798" spans="2:13" x14ac:dyDescent="0.25">
      <c r="B798" t="s">
        <v>1569</v>
      </c>
      <c r="C798">
        <v>18182797</v>
      </c>
      <c r="D798" t="str">
        <f>"4627091397718"</f>
        <v>4627091397718</v>
      </c>
      <c r="E798" t="s">
        <v>1761</v>
      </c>
      <c r="F798" t="s">
        <v>406</v>
      </c>
      <c r="G798">
        <v>1</v>
      </c>
      <c r="H798" t="s">
        <v>18</v>
      </c>
      <c r="I798" t="s">
        <v>16</v>
      </c>
      <c r="J798" t="s">
        <v>854</v>
      </c>
      <c r="L798" t="s">
        <v>18</v>
      </c>
      <c r="M798" t="s">
        <v>639</v>
      </c>
    </row>
    <row r="799" spans="2:13" x14ac:dyDescent="0.25">
      <c r="B799" t="s">
        <v>1569</v>
      </c>
      <c r="C799">
        <v>18182818</v>
      </c>
      <c r="D799" t="str">
        <f>"4627091397732"</f>
        <v>4627091397732</v>
      </c>
      <c r="E799" t="s">
        <v>1762</v>
      </c>
      <c r="F799" t="s">
        <v>525</v>
      </c>
      <c r="G799">
        <v>1</v>
      </c>
      <c r="H799" t="s">
        <v>18</v>
      </c>
      <c r="I799" t="s">
        <v>16</v>
      </c>
      <c r="J799" t="s">
        <v>854</v>
      </c>
      <c r="L799" t="s">
        <v>18</v>
      </c>
      <c r="M799" t="s">
        <v>639</v>
      </c>
    </row>
    <row r="800" spans="2:13" x14ac:dyDescent="0.25">
      <c r="B800" t="s">
        <v>1569</v>
      </c>
      <c r="C800">
        <v>18182826</v>
      </c>
      <c r="D800" t="str">
        <f>"4627091397749"</f>
        <v>4627091397749</v>
      </c>
      <c r="E800" t="s">
        <v>1763</v>
      </c>
      <c r="F800" t="s">
        <v>410</v>
      </c>
      <c r="G800">
        <v>1</v>
      </c>
      <c r="H800" t="s">
        <v>18</v>
      </c>
      <c r="I800" t="s">
        <v>16</v>
      </c>
      <c r="J800" t="s">
        <v>854</v>
      </c>
      <c r="L800" t="s">
        <v>18</v>
      </c>
      <c r="M800" t="s">
        <v>639</v>
      </c>
    </row>
    <row r="801" spans="2:13" x14ac:dyDescent="0.25">
      <c r="B801" t="s">
        <v>1569</v>
      </c>
      <c r="C801">
        <v>18182834</v>
      </c>
      <c r="D801" t="str">
        <f>"4627091397565"</f>
        <v>4627091397565</v>
      </c>
      <c r="E801" t="s">
        <v>1764</v>
      </c>
      <c r="F801" t="s">
        <v>194</v>
      </c>
      <c r="G801">
        <v>1</v>
      </c>
      <c r="H801" t="s">
        <v>18</v>
      </c>
      <c r="I801" t="s">
        <v>16</v>
      </c>
      <c r="J801" t="s">
        <v>854</v>
      </c>
      <c r="L801" t="s">
        <v>18</v>
      </c>
      <c r="M801" t="s">
        <v>1765</v>
      </c>
    </row>
    <row r="802" spans="2:13" x14ac:dyDescent="0.25">
      <c r="B802" t="s">
        <v>1569</v>
      </c>
      <c r="C802">
        <v>18182851</v>
      </c>
      <c r="D802" t="str">
        <f>"4627091397589"</f>
        <v>4627091397589</v>
      </c>
      <c r="E802" t="s">
        <v>1741</v>
      </c>
      <c r="F802" t="s">
        <v>165</v>
      </c>
      <c r="G802">
        <v>1</v>
      </c>
      <c r="H802" t="s">
        <v>18</v>
      </c>
      <c r="I802" t="s">
        <v>16</v>
      </c>
      <c r="J802" t="s">
        <v>854</v>
      </c>
      <c r="L802" t="s">
        <v>18</v>
      </c>
      <c r="M802" t="s">
        <v>1766</v>
      </c>
    </row>
    <row r="803" spans="2:13" x14ac:dyDescent="0.25">
      <c r="B803" t="s">
        <v>1569</v>
      </c>
      <c r="C803">
        <v>18182877</v>
      </c>
      <c r="D803" t="str">
        <f>"4627091397602"</f>
        <v>4627091397602</v>
      </c>
      <c r="E803" t="s">
        <v>1767</v>
      </c>
      <c r="F803" t="s">
        <v>379</v>
      </c>
      <c r="G803">
        <v>1</v>
      </c>
      <c r="H803" t="s">
        <v>18</v>
      </c>
      <c r="I803" t="s">
        <v>16</v>
      </c>
      <c r="J803" t="s">
        <v>854</v>
      </c>
      <c r="L803" t="s">
        <v>18</v>
      </c>
      <c r="M803" t="s">
        <v>1768</v>
      </c>
    </row>
    <row r="804" spans="2:13" x14ac:dyDescent="0.25">
      <c r="B804" t="s">
        <v>1569</v>
      </c>
      <c r="C804">
        <v>18182922</v>
      </c>
      <c r="D804" t="str">
        <f>"4627091397640"</f>
        <v>4627091397640</v>
      </c>
      <c r="E804" t="s">
        <v>1769</v>
      </c>
      <c r="F804" t="s">
        <v>40</v>
      </c>
      <c r="G804">
        <v>1</v>
      </c>
      <c r="H804" t="s">
        <v>18</v>
      </c>
      <c r="I804" t="s">
        <v>16</v>
      </c>
      <c r="J804" t="s">
        <v>854</v>
      </c>
      <c r="L804" t="s">
        <v>18</v>
      </c>
      <c r="M804" t="s">
        <v>1698</v>
      </c>
    </row>
    <row r="805" spans="2:13" x14ac:dyDescent="0.25">
      <c r="B805" t="s">
        <v>1569</v>
      </c>
      <c r="C805">
        <v>18182931</v>
      </c>
      <c r="D805" t="str">
        <f>"4627091397633"</f>
        <v>4627091397633</v>
      </c>
      <c r="E805" t="s">
        <v>1770</v>
      </c>
      <c r="F805" t="s">
        <v>649</v>
      </c>
      <c r="G805">
        <v>1</v>
      </c>
      <c r="H805" t="s">
        <v>18</v>
      </c>
      <c r="I805" t="s">
        <v>16</v>
      </c>
      <c r="J805" t="s">
        <v>854</v>
      </c>
      <c r="L805" t="s">
        <v>18</v>
      </c>
      <c r="M805" t="s">
        <v>1771</v>
      </c>
    </row>
    <row r="806" spans="2:13" x14ac:dyDescent="0.25">
      <c r="B806" t="s">
        <v>1569</v>
      </c>
      <c r="C806">
        <v>18193875</v>
      </c>
      <c r="D806" t="str">
        <f>"4680018340198"</f>
        <v>4680018340198</v>
      </c>
      <c r="E806" t="s">
        <v>1772</v>
      </c>
      <c r="F806" t="s">
        <v>252</v>
      </c>
      <c r="G806">
        <v>1</v>
      </c>
      <c r="H806" t="s">
        <v>18</v>
      </c>
      <c r="I806" t="s">
        <v>16</v>
      </c>
      <c r="J806" t="s">
        <v>1682</v>
      </c>
      <c r="L806" t="s">
        <v>18</v>
      </c>
      <c r="M806" t="s">
        <v>1773</v>
      </c>
    </row>
    <row r="807" spans="2:13" x14ac:dyDescent="0.25">
      <c r="B807" t="s">
        <v>1569</v>
      </c>
      <c r="C807">
        <v>18193883</v>
      </c>
      <c r="D807" t="str">
        <f>"4680018340204"</f>
        <v>4680018340204</v>
      </c>
      <c r="E807" t="s">
        <v>1774</v>
      </c>
      <c r="F807" t="s">
        <v>307</v>
      </c>
      <c r="G807">
        <v>1</v>
      </c>
      <c r="H807" t="s">
        <v>18</v>
      </c>
      <c r="I807" t="s">
        <v>16</v>
      </c>
      <c r="J807" t="s">
        <v>1682</v>
      </c>
      <c r="L807" t="s">
        <v>18</v>
      </c>
      <c r="M807" t="s">
        <v>1775</v>
      </c>
    </row>
    <row r="808" spans="2:13" x14ac:dyDescent="0.25">
      <c r="B808" t="s">
        <v>1569</v>
      </c>
      <c r="C808">
        <v>18193891</v>
      </c>
      <c r="D808" t="str">
        <f>"4680018340211"</f>
        <v>4680018340211</v>
      </c>
      <c r="E808" t="s">
        <v>1776</v>
      </c>
      <c r="F808" t="s">
        <v>60</v>
      </c>
      <c r="G808">
        <v>1</v>
      </c>
      <c r="H808" t="s">
        <v>18</v>
      </c>
      <c r="I808" t="s">
        <v>16</v>
      </c>
      <c r="J808" t="s">
        <v>1682</v>
      </c>
      <c r="L808" t="s">
        <v>18</v>
      </c>
      <c r="M808" t="s">
        <v>1732</v>
      </c>
    </row>
    <row r="809" spans="2:13" x14ac:dyDescent="0.25">
      <c r="B809" t="s">
        <v>1569</v>
      </c>
      <c r="C809">
        <v>18193904</v>
      </c>
      <c r="D809" t="str">
        <f>"4680018340228"</f>
        <v>4680018340228</v>
      </c>
      <c r="E809" t="s">
        <v>1777</v>
      </c>
      <c r="F809" t="s">
        <v>188</v>
      </c>
      <c r="G809">
        <v>1</v>
      </c>
      <c r="H809" t="s">
        <v>18</v>
      </c>
      <c r="I809" t="s">
        <v>16</v>
      </c>
      <c r="J809" t="s">
        <v>1682</v>
      </c>
      <c r="L809" t="s">
        <v>18</v>
      </c>
      <c r="M809" t="s">
        <v>1778</v>
      </c>
    </row>
    <row r="810" spans="2:13" x14ac:dyDescent="0.25">
      <c r="B810" t="s">
        <v>1569</v>
      </c>
      <c r="C810">
        <v>18193912</v>
      </c>
      <c r="D810" t="str">
        <f>"4680018340235"</f>
        <v>4680018340235</v>
      </c>
      <c r="E810" t="s">
        <v>1779</v>
      </c>
      <c r="F810" t="s">
        <v>240</v>
      </c>
      <c r="G810">
        <v>1</v>
      </c>
      <c r="H810" t="s">
        <v>18</v>
      </c>
      <c r="I810" t="s">
        <v>16</v>
      </c>
      <c r="J810" t="s">
        <v>1682</v>
      </c>
      <c r="L810" t="s">
        <v>18</v>
      </c>
      <c r="M810" t="s">
        <v>1725</v>
      </c>
    </row>
    <row r="811" spans="2:13" x14ac:dyDescent="0.25">
      <c r="B811" t="s">
        <v>1569</v>
      </c>
      <c r="C811">
        <v>18193921</v>
      </c>
      <c r="D811" t="str">
        <f>"4680018340242"</f>
        <v>4680018340242</v>
      </c>
      <c r="E811" t="s">
        <v>1780</v>
      </c>
      <c r="F811" t="s">
        <v>442</v>
      </c>
      <c r="G811">
        <v>1</v>
      </c>
      <c r="H811" t="s">
        <v>18</v>
      </c>
      <c r="I811" t="s">
        <v>16</v>
      </c>
      <c r="J811" t="s">
        <v>1682</v>
      </c>
      <c r="L811" t="s">
        <v>18</v>
      </c>
      <c r="M811" t="s">
        <v>581</v>
      </c>
    </row>
    <row r="812" spans="2:13" x14ac:dyDescent="0.25">
      <c r="B812" t="s">
        <v>1569</v>
      </c>
      <c r="C812">
        <v>18193939</v>
      </c>
      <c r="D812" t="str">
        <f>"4680018340259"</f>
        <v>4680018340259</v>
      </c>
      <c r="E812" t="s">
        <v>1781</v>
      </c>
      <c r="F812" t="s">
        <v>1782</v>
      </c>
      <c r="G812">
        <v>1</v>
      </c>
      <c r="H812" t="s">
        <v>18</v>
      </c>
      <c r="I812" t="s">
        <v>16</v>
      </c>
      <c r="J812" t="s">
        <v>1682</v>
      </c>
      <c r="L812" t="s">
        <v>18</v>
      </c>
      <c r="M812" t="s">
        <v>1783</v>
      </c>
    </row>
    <row r="813" spans="2:13" x14ac:dyDescent="0.25">
      <c r="B813" t="s">
        <v>1569</v>
      </c>
      <c r="C813">
        <v>18193947</v>
      </c>
      <c r="D813" t="str">
        <f>"4680018340266"</f>
        <v>4680018340266</v>
      </c>
      <c r="E813" t="s">
        <v>1784</v>
      </c>
      <c r="F813" t="s">
        <v>1785</v>
      </c>
      <c r="G813">
        <v>1</v>
      </c>
      <c r="H813" t="s">
        <v>18</v>
      </c>
      <c r="I813" t="s">
        <v>16</v>
      </c>
      <c r="J813" t="s">
        <v>1682</v>
      </c>
      <c r="L813" t="s">
        <v>18</v>
      </c>
      <c r="M813" t="s">
        <v>1778</v>
      </c>
    </row>
    <row r="814" spans="2:13" x14ac:dyDescent="0.25">
      <c r="B814" t="s">
        <v>1569</v>
      </c>
      <c r="C814">
        <v>18193955</v>
      </c>
      <c r="D814" t="str">
        <f>"4680018340273"</f>
        <v>4680018340273</v>
      </c>
      <c r="E814" t="s">
        <v>1786</v>
      </c>
      <c r="F814" t="s">
        <v>21</v>
      </c>
      <c r="G814">
        <v>1</v>
      </c>
      <c r="H814" t="s">
        <v>18</v>
      </c>
      <c r="I814" t="s">
        <v>16</v>
      </c>
      <c r="J814" t="s">
        <v>1682</v>
      </c>
      <c r="L814" t="s">
        <v>18</v>
      </c>
      <c r="M814" t="s">
        <v>786</v>
      </c>
    </row>
    <row r="815" spans="2:13" x14ac:dyDescent="0.25">
      <c r="B815" t="s">
        <v>1569</v>
      </c>
      <c r="C815">
        <v>18193963</v>
      </c>
      <c r="D815" t="str">
        <f>"4680018340280"</f>
        <v>4680018340280</v>
      </c>
      <c r="E815" t="s">
        <v>1787</v>
      </c>
      <c r="F815" t="s">
        <v>525</v>
      </c>
      <c r="G815">
        <v>1</v>
      </c>
      <c r="H815" t="s">
        <v>18</v>
      </c>
      <c r="I815" t="s">
        <v>16</v>
      </c>
      <c r="J815" t="s">
        <v>1682</v>
      </c>
      <c r="L815" t="s">
        <v>18</v>
      </c>
      <c r="M815" t="s">
        <v>1788</v>
      </c>
    </row>
    <row r="816" spans="2:13" x14ac:dyDescent="0.25">
      <c r="B816" t="s">
        <v>1569</v>
      </c>
      <c r="C816">
        <v>18193971</v>
      </c>
      <c r="D816" t="str">
        <f>"4680018340297"</f>
        <v>4680018340297</v>
      </c>
      <c r="E816" t="s">
        <v>1789</v>
      </c>
      <c r="F816" t="s">
        <v>14</v>
      </c>
      <c r="G816">
        <v>1</v>
      </c>
      <c r="H816" t="s">
        <v>18</v>
      </c>
      <c r="I816" t="s">
        <v>16</v>
      </c>
      <c r="J816" t="s">
        <v>1682</v>
      </c>
      <c r="L816" t="s">
        <v>18</v>
      </c>
      <c r="M816" t="s">
        <v>1564</v>
      </c>
    </row>
    <row r="817" spans="2:13" x14ac:dyDescent="0.25">
      <c r="B817" t="s">
        <v>1569</v>
      </c>
      <c r="C817">
        <v>18193980</v>
      </c>
      <c r="D817" t="str">
        <f>"4680018340303"</f>
        <v>4680018340303</v>
      </c>
      <c r="E817" t="s">
        <v>1790</v>
      </c>
      <c r="F817" t="s">
        <v>268</v>
      </c>
      <c r="G817">
        <v>1</v>
      </c>
      <c r="H817" t="s">
        <v>18</v>
      </c>
      <c r="I817" t="s">
        <v>16</v>
      </c>
      <c r="J817" t="s">
        <v>1682</v>
      </c>
      <c r="L817" t="s">
        <v>18</v>
      </c>
      <c r="M817" t="s">
        <v>1791</v>
      </c>
    </row>
    <row r="818" spans="2:13" x14ac:dyDescent="0.25">
      <c r="B818" t="s">
        <v>1569</v>
      </c>
      <c r="C818">
        <v>18193998</v>
      </c>
      <c r="D818" t="str">
        <f>"4680018340310"</f>
        <v>4680018340310</v>
      </c>
      <c r="E818" t="s">
        <v>1792</v>
      </c>
      <c r="F818" t="s">
        <v>191</v>
      </c>
      <c r="G818">
        <v>1</v>
      </c>
      <c r="H818" t="s">
        <v>18</v>
      </c>
      <c r="I818" t="s">
        <v>16</v>
      </c>
      <c r="J818" t="s">
        <v>1682</v>
      </c>
      <c r="L818" t="s">
        <v>18</v>
      </c>
      <c r="M818" t="s">
        <v>1746</v>
      </c>
    </row>
    <row r="819" spans="2:13" x14ac:dyDescent="0.25">
      <c r="B819" t="s">
        <v>1569</v>
      </c>
      <c r="C819">
        <v>18195820</v>
      </c>
      <c r="D819" t="str">
        <f>"4710694607503"</f>
        <v>4710694607503</v>
      </c>
      <c r="E819" t="s">
        <v>1793</v>
      </c>
      <c r="F819" t="s">
        <v>1794</v>
      </c>
      <c r="G819">
        <v>1</v>
      </c>
      <c r="H819" t="s">
        <v>18</v>
      </c>
      <c r="I819" t="s">
        <v>16</v>
      </c>
      <c r="J819" t="s">
        <v>1553</v>
      </c>
      <c r="L819" t="s">
        <v>18</v>
      </c>
      <c r="M819" t="s">
        <v>753</v>
      </c>
    </row>
    <row r="820" spans="2:13" x14ac:dyDescent="0.25">
      <c r="B820" t="s">
        <v>1569</v>
      </c>
      <c r="C820">
        <v>18195838</v>
      </c>
      <c r="D820" t="str">
        <f>"4710694607497"</f>
        <v>4710694607497</v>
      </c>
      <c r="E820" t="s">
        <v>1795</v>
      </c>
      <c r="F820" t="s">
        <v>1742</v>
      </c>
      <c r="G820">
        <v>1</v>
      </c>
      <c r="H820" t="s">
        <v>18</v>
      </c>
      <c r="I820" t="s">
        <v>16</v>
      </c>
      <c r="J820" t="s">
        <v>1553</v>
      </c>
      <c r="L820" t="s">
        <v>18</v>
      </c>
      <c r="M820" t="s">
        <v>971</v>
      </c>
    </row>
    <row r="821" spans="2:13" x14ac:dyDescent="0.25">
      <c r="B821" t="s">
        <v>1569</v>
      </c>
      <c r="C821">
        <v>18195846</v>
      </c>
      <c r="D821" t="str">
        <f>"4710694607510"</f>
        <v>4710694607510</v>
      </c>
      <c r="E821" t="s">
        <v>1796</v>
      </c>
      <c r="F821" t="s">
        <v>1797</v>
      </c>
      <c r="G821">
        <v>1</v>
      </c>
      <c r="H821" t="s">
        <v>18</v>
      </c>
      <c r="I821" t="s">
        <v>16</v>
      </c>
      <c r="J821" t="s">
        <v>1553</v>
      </c>
      <c r="L821" t="s">
        <v>18</v>
      </c>
      <c r="M821" t="s">
        <v>1422</v>
      </c>
    </row>
    <row r="822" spans="2:13" x14ac:dyDescent="0.25">
      <c r="B822" t="s">
        <v>1569</v>
      </c>
      <c r="C822">
        <v>18195854</v>
      </c>
      <c r="D822" t="str">
        <f>"4710694602218"</f>
        <v>4710694602218</v>
      </c>
      <c r="E822" t="s">
        <v>1798</v>
      </c>
      <c r="F822" t="s">
        <v>247</v>
      </c>
      <c r="G822">
        <v>1</v>
      </c>
      <c r="H822" t="s">
        <v>18</v>
      </c>
      <c r="I822" t="s">
        <v>16</v>
      </c>
      <c r="J822" t="s">
        <v>1553</v>
      </c>
      <c r="L822" t="s">
        <v>18</v>
      </c>
      <c r="M822" t="s">
        <v>1799</v>
      </c>
    </row>
    <row r="823" spans="2:13" x14ac:dyDescent="0.25">
      <c r="B823" t="s">
        <v>1800</v>
      </c>
      <c r="C823">
        <v>13996919</v>
      </c>
      <c r="D823" t="str">
        <f>"8595593001692"</f>
        <v>8595593001692</v>
      </c>
      <c r="E823" t="s">
        <v>1801</v>
      </c>
      <c r="F823" t="s">
        <v>48</v>
      </c>
      <c r="G823">
        <v>1</v>
      </c>
      <c r="H823" t="s">
        <v>18</v>
      </c>
      <c r="I823" t="s">
        <v>16</v>
      </c>
      <c r="J823" t="s">
        <v>1150</v>
      </c>
      <c r="L823" t="s">
        <v>18</v>
      </c>
      <c r="M823" t="s">
        <v>1802</v>
      </c>
    </row>
    <row r="824" spans="2:13" x14ac:dyDescent="0.25">
      <c r="B824" t="s">
        <v>1800</v>
      </c>
      <c r="C824">
        <v>13996927</v>
      </c>
      <c r="D824" t="str">
        <f>"8595593001715"</f>
        <v>8595593001715</v>
      </c>
      <c r="E824" t="s">
        <v>1803</v>
      </c>
      <c r="F824" t="s">
        <v>24</v>
      </c>
      <c r="G824">
        <v>0</v>
      </c>
      <c r="H824" t="s">
        <v>18</v>
      </c>
      <c r="I824" t="s">
        <v>754</v>
      </c>
      <c r="J824" t="s">
        <v>1150</v>
      </c>
      <c r="K824" s="1">
        <v>42840</v>
      </c>
      <c r="L824" t="s">
        <v>18</v>
      </c>
      <c r="M824" t="s">
        <v>1339</v>
      </c>
    </row>
    <row r="825" spans="2:13" x14ac:dyDescent="0.25">
      <c r="B825" t="s">
        <v>1800</v>
      </c>
      <c r="C825">
        <v>13996935</v>
      </c>
      <c r="D825" t="str">
        <f>"8595593001722"</f>
        <v>8595593001722</v>
      </c>
      <c r="E825" t="s">
        <v>1804</v>
      </c>
      <c r="F825" t="s">
        <v>31</v>
      </c>
      <c r="G825">
        <v>1</v>
      </c>
      <c r="H825" t="s">
        <v>18</v>
      </c>
      <c r="I825" t="s">
        <v>16</v>
      </c>
      <c r="J825" t="s">
        <v>1150</v>
      </c>
      <c r="L825" t="s">
        <v>18</v>
      </c>
      <c r="M825" t="s">
        <v>1339</v>
      </c>
    </row>
    <row r="826" spans="2:13" x14ac:dyDescent="0.25">
      <c r="B826" t="s">
        <v>1800</v>
      </c>
      <c r="C826">
        <v>13996943</v>
      </c>
      <c r="D826" t="str">
        <f>"8595593001739"</f>
        <v>8595593001739</v>
      </c>
      <c r="E826" t="s">
        <v>1805</v>
      </c>
      <c r="F826" t="s">
        <v>34</v>
      </c>
      <c r="G826">
        <v>1</v>
      </c>
      <c r="H826" t="s">
        <v>18</v>
      </c>
      <c r="I826" t="s">
        <v>16</v>
      </c>
      <c r="J826" t="s">
        <v>1150</v>
      </c>
      <c r="L826" t="s">
        <v>18</v>
      </c>
      <c r="M826" t="s">
        <v>1806</v>
      </c>
    </row>
    <row r="827" spans="2:13" x14ac:dyDescent="0.25">
      <c r="B827" t="s">
        <v>1800</v>
      </c>
      <c r="C827">
        <v>13996951</v>
      </c>
      <c r="D827" t="str">
        <f>"8595593001760"</f>
        <v>8595593001760</v>
      </c>
      <c r="E827" t="s">
        <v>1807</v>
      </c>
      <c r="F827" t="s">
        <v>27</v>
      </c>
      <c r="G827">
        <v>1</v>
      </c>
      <c r="H827" t="s">
        <v>18</v>
      </c>
      <c r="I827" t="s">
        <v>16</v>
      </c>
      <c r="J827" t="s">
        <v>1150</v>
      </c>
      <c r="L827" t="s">
        <v>18</v>
      </c>
      <c r="M827" t="s">
        <v>1808</v>
      </c>
    </row>
    <row r="828" spans="2:13" x14ac:dyDescent="0.25">
      <c r="B828" t="s">
        <v>1800</v>
      </c>
      <c r="C828">
        <v>13996986</v>
      </c>
      <c r="D828" t="str">
        <f>"8595593001609"</f>
        <v>8595593001609</v>
      </c>
      <c r="E828" t="s">
        <v>1809</v>
      </c>
      <c r="F828" t="s">
        <v>14</v>
      </c>
      <c r="G828">
        <v>1</v>
      </c>
      <c r="H828" t="s">
        <v>18</v>
      </c>
      <c r="I828" t="s">
        <v>16</v>
      </c>
      <c r="J828" t="s">
        <v>1150</v>
      </c>
      <c r="L828" t="s">
        <v>18</v>
      </c>
      <c r="M828" t="s">
        <v>1568</v>
      </c>
    </row>
    <row r="829" spans="2:13" x14ac:dyDescent="0.25">
      <c r="B829" t="s">
        <v>1800</v>
      </c>
      <c r="C829">
        <v>13996994</v>
      </c>
      <c r="D829" t="str">
        <f>"8595593001616"</f>
        <v>8595593001616</v>
      </c>
      <c r="E829" t="s">
        <v>1810</v>
      </c>
      <c r="F829" t="s">
        <v>34</v>
      </c>
      <c r="G829">
        <v>0</v>
      </c>
      <c r="H829" t="s">
        <v>18</v>
      </c>
      <c r="I829" t="s">
        <v>754</v>
      </c>
      <c r="J829" t="s">
        <v>1150</v>
      </c>
      <c r="K829" s="1">
        <v>42840</v>
      </c>
      <c r="L829" t="s">
        <v>18</v>
      </c>
      <c r="M829" t="s">
        <v>1806</v>
      </c>
    </row>
    <row r="830" spans="2:13" x14ac:dyDescent="0.25">
      <c r="B830" t="s">
        <v>1800</v>
      </c>
      <c r="C830">
        <v>13997006</v>
      </c>
      <c r="D830" t="str">
        <f>"8595593001586"</f>
        <v>8595593001586</v>
      </c>
      <c r="E830" t="s">
        <v>1811</v>
      </c>
      <c r="F830" t="s">
        <v>48</v>
      </c>
      <c r="G830">
        <v>1</v>
      </c>
      <c r="H830" t="s">
        <v>18</v>
      </c>
      <c r="I830" t="s">
        <v>16</v>
      </c>
      <c r="J830" t="s">
        <v>1150</v>
      </c>
      <c r="L830" t="s">
        <v>18</v>
      </c>
      <c r="M830" t="s">
        <v>1812</v>
      </c>
    </row>
    <row r="831" spans="2:13" x14ac:dyDescent="0.25">
      <c r="B831" t="s">
        <v>1800</v>
      </c>
      <c r="C831">
        <v>13997022</v>
      </c>
      <c r="D831" t="str">
        <f>"8595593001593"</f>
        <v>8595593001593</v>
      </c>
      <c r="E831" t="s">
        <v>1813</v>
      </c>
      <c r="F831" t="s">
        <v>24</v>
      </c>
      <c r="G831">
        <v>0</v>
      </c>
      <c r="H831" t="s">
        <v>18</v>
      </c>
      <c r="I831" t="s">
        <v>754</v>
      </c>
      <c r="J831" t="s">
        <v>1150</v>
      </c>
      <c r="K831" s="1">
        <v>42840</v>
      </c>
      <c r="L831" t="s">
        <v>18</v>
      </c>
      <c r="M831" t="s">
        <v>1806</v>
      </c>
    </row>
    <row r="832" spans="2:13" x14ac:dyDescent="0.25">
      <c r="B832" t="s">
        <v>1800</v>
      </c>
      <c r="C832">
        <v>13997030</v>
      </c>
      <c r="D832" t="str">
        <f>"8595593001630"</f>
        <v>8595593001630</v>
      </c>
      <c r="E832" t="s">
        <v>1814</v>
      </c>
      <c r="F832" t="s">
        <v>165</v>
      </c>
      <c r="G832">
        <v>1</v>
      </c>
      <c r="H832" t="s">
        <v>18</v>
      </c>
      <c r="I832" t="s">
        <v>16</v>
      </c>
      <c r="J832" t="s">
        <v>1150</v>
      </c>
      <c r="L832" t="s">
        <v>18</v>
      </c>
      <c r="M832" t="s">
        <v>1815</v>
      </c>
    </row>
    <row r="833" spans="2:13" x14ac:dyDescent="0.25">
      <c r="B833" t="s">
        <v>1800</v>
      </c>
      <c r="C833">
        <v>13997065</v>
      </c>
      <c r="D833" t="str">
        <f>"8595593001623"</f>
        <v>8595593001623</v>
      </c>
      <c r="E833" t="s">
        <v>1816</v>
      </c>
      <c r="F833" t="s">
        <v>227</v>
      </c>
      <c r="G833">
        <v>1</v>
      </c>
      <c r="H833" t="s">
        <v>18</v>
      </c>
      <c r="I833" t="s">
        <v>16</v>
      </c>
      <c r="J833" t="s">
        <v>1150</v>
      </c>
      <c r="L833" t="s">
        <v>18</v>
      </c>
      <c r="M833" t="s">
        <v>1702</v>
      </c>
    </row>
    <row r="834" spans="2:13" x14ac:dyDescent="0.25">
      <c r="B834" t="s">
        <v>1800</v>
      </c>
      <c r="C834">
        <v>15630793</v>
      </c>
      <c r="D834" t="str">
        <f>"8595593005287"</f>
        <v>8595593005287</v>
      </c>
      <c r="E834" t="s">
        <v>1817</v>
      </c>
      <c r="F834" t="s">
        <v>1025</v>
      </c>
      <c r="G834">
        <v>1</v>
      </c>
      <c r="H834" t="s">
        <v>18</v>
      </c>
      <c r="I834" t="s">
        <v>16</v>
      </c>
      <c r="J834" t="s">
        <v>1150</v>
      </c>
      <c r="L834" t="s">
        <v>18</v>
      </c>
      <c r="M834" t="s">
        <v>1818</v>
      </c>
    </row>
    <row r="835" spans="2:13" x14ac:dyDescent="0.25">
      <c r="B835" t="s">
        <v>1800</v>
      </c>
      <c r="C835">
        <v>15630806</v>
      </c>
      <c r="D835" t="str">
        <f>"8595593005294"</f>
        <v>8595593005294</v>
      </c>
      <c r="E835" t="s">
        <v>1819</v>
      </c>
      <c r="F835" t="s">
        <v>24</v>
      </c>
      <c r="G835">
        <v>0</v>
      </c>
      <c r="H835" t="s">
        <v>18</v>
      </c>
      <c r="I835" t="s">
        <v>754</v>
      </c>
      <c r="J835" t="s">
        <v>1150</v>
      </c>
      <c r="K835" s="1">
        <v>42840</v>
      </c>
      <c r="L835" t="s">
        <v>18</v>
      </c>
      <c r="M835" t="s">
        <v>195</v>
      </c>
    </row>
    <row r="836" spans="2:13" x14ac:dyDescent="0.25">
      <c r="B836" t="s">
        <v>1800</v>
      </c>
      <c r="C836">
        <v>15630814</v>
      </c>
      <c r="D836" t="str">
        <f>"8595593005300"</f>
        <v>8595593005300</v>
      </c>
      <c r="E836" t="s">
        <v>1820</v>
      </c>
      <c r="F836" t="s">
        <v>14</v>
      </c>
      <c r="G836">
        <v>0</v>
      </c>
      <c r="H836" t="s">
        <v>18</v>
      </c>
      <c r="I836" t="s">
        <v>754</v>
      </c>
      <c r="J836" t="s">
        <v>1150</v>
      </c>
      <c r="K836" s="1">
        <v>42840</v>
      </c>
      <c r="L836" t="s">
        <v>18</v>
      </c>
      <c r="M836" t="s">
        <v>1821</v>
      </c>
    </row>
    <row r="837" spans="2:13" x14ac:dyDescent="0.25">
      <c r="B837" t="s">
        <v>1800</v>
      </c>
      <c r="C837">
        <v>15867299</v>
      </c>
      <c r="D837" t="str">
        <f>"4660015183028"</f>
        <v>4660015183028</v>
      </c>
      <c r="E837" t="s">
        <v>1822</v>
      </c>
      <c r="F837" t="s">
        <v>34</v>
      </c>
      <c r="G837">
        <v>0</v>
      </c>
      <c r="H837" t="s">
        <v>18</v>
      </c>
      <c r="I837" t="s">
        <v>754</v>
      </c>
      <c r="J837" t="s">
        <v>1556</v>
      </c>
      <c r="K837" s="1">
        <v>42840</v>
      </c>
      <c r="L837" t="s">
        <v>18</v>
      </c>
      <c r="M837" t="s">
        <v>1823</v>
      </c>
    </row>
    <row r="838" spans="2:13" x14ac:dyDescent="0.25">
      <c r="B838" t="s">
        <v>1800</v>
      </c>
      <c r="C838">
        <v>15867301</v>
      </c>
      <c r="D838" t="str">
        <f>"4660015182984"</f>
        <v>4660015182984</v>
      </c>
      <c r="E838" t="s">
        <v>1824</v>
      </c>
      <c r="F838" t="s">
        <v>31</v>
      </c>
      <c r="G838">
        <v>0</v>
      </c>
      <c r="H838" t="s">
        <v>18</v>
      </c>
      <c r="I838" t="s">
        <v>754</v>
      </c>
      <c r="J838" t="s">
        <v>1556</v>
      </c>
      <c r="K838" s="1">
        <v>42840</v>
      </c>
      <c r="L838" t="s">
        <v>18</v>
      </c>
      <c r="M838" t="s">
        <v>1825</v>
      </c>
    </row>
    <row r="839" spans="2:13" x14ac:dyDescent="0.25">
      <c r="B839" t="s">
        <v>1800</v>
      </c>
      <c r="C839">
        <v>15867310</v>
      </c>
      <c r="D839" t="str">
        <f>"4660015183004"</f>
        <v>4660015183004</v>
      </c>
      <c r="E839" t="s">
        <v>1826</v>
      </c>
      <c r="F839" t="s">
        <v>31</v>
      </c>
      <c r="G839">
        <v>0</v>
      </c>
      <c r="H839" t="s">
        <v>18</v>
      </c>
      <c r="I839" t="s">
        <v>754</v>
      </c>
      <c r="J839" t="s">
        <v>1556</v>
      </c>
      <c r="K839" s="1">
        <v>42840</v>
      </c>
      <c r="L839" t="s">
        <v>18</v>
      </c>
      <c r="M839" t="s">
        <v>1827</v>
      </c>
    </row>
    <row r="840" spans="2:13" x14ac:dyDescent="0.25">
      <c r="B840" t="s">
        <v>1800</v>
      </c>
      <c r="C840">
        <v>15867328</v>
      </c>
      <c r="D840" t="str">
        <f>"4660015183141"</f>
        <v>4660015183141</v>
      </c>
      <c r="E840" t="s">
        <v>1828</v>
      </c>
      <c r="F840" t="s">
        <v>34</v>
      </c>
      <c r="G840">
        <v>0</v>
      </c>
      <c r="H840" t="s">
        <v>18</v>
      </c>
      <c r="I840" t="s">
        <v>754</v>
      </c>
      <c r="J840" t="s">
        <v>1556</v>
      </c>
      <c r="K840" s="1">
        <v>42840</v>
      </c>
      <c r="L840" t="s">
        <v>18</v>
      </c>
      <c r="M840" t="s">
        <v>1829</v>
      </c>
    </row>
    <row r="841" spans="2:13" x14ac:dyDescent="0.25">
      <c r="B841" t="s">
        <v>1800</v>
      </c>
      <c r="C841">
        <v>15867344</v>
      </c>
      <c r="D841" t="str">
        <f>"4660015183226"</f>
        <v>4660015183226</v>
      </c>
      <c r="E841" t="s">
        <v>1830</v>
      </c>
      <c r="F841" t="s">
        <v>31</v>
      </c>
      <c r="G841">
        <v>0</v>
      </c>
      <c r="H841" t="s">
        <v>18</v>
      </c>
      <c r="I841" t="s">
        <v>754</v>
      </c>
      <c r="J841" t="s">
        <v>1556</v>
      </c>
      <c r="K841" s="1">
        <v>42840</v>
      </c>
      <c r="L841" t="s">
        <v>18</v>
      </c>
      <c r="M841" t="s">
        <v>1831</v>
      </c>
    </row>
    <row r="842" spans="2:13" x14ac:dyDescent="0.25">
      <c r="B842" t="s">
        <v>1800</v>
      </c>
      <c r="C842">
        <v>15867361</v>
      </c>
      <c r="D842" t="str">
        <f>"4660015183240"</f>
        <v>4660015183240</v>
      </c>
      <c r="E842" t="s">
        <v>1832</v>
      </c>
      <c r="F842" t="s">
        <v>24</v>
      </c>
      <c r="G842">
        <v>0</v>
      </c>
      <c r="H842" t="s">
        <v>18</v>
      </c>
      <c r="I842" t="s">
        <v>754</v>
      </c>
      <c r="J842" t="s">
        <v>1556</v>
      </c>
      <c r="K842" s="1">
        <v>42840</v>
      </c>
      <c r="L842" t="s">
        <v>18</v>
      </c>
      <c r="M842" t="s">
        <v>1825</v>
      </c>
    </row>
    <row r="843" spans="2:13" x14ac:dyDescent="0.25">
      <c r="B843" t="s">
        <v>1800</v>
      </c>
      <c r="C843">
        <v>15867379</v>
      </c>
      <c r="D843" t="str">
        <f>"4660015183264"</f>
        <v>4660015183264</v>
      </c>
      <c r="E843" t="s">
        <v>1833</v>
      </c>
      <c r="F843" t="s">
        <v>285</v>
      </c>
      <c r="G843">
        <v>0</v>
      </c>
      <c r="H843" t="s">
        <v>18</v>
      </c>
      <c r="I843" t="s">
        <v>754</v>
      </c>
      <c r="J843" t="s">
        <v>1556</v>
      </c>
      <c r="K843" s="1">
        <v>42840</v>
      </c>
      <c r="L843" t="s">
        <v>18</v>
      </c>
      <c r="M843" t="s">
        <v>1825</v>
      </c>
    </row>
    <row r="844" spans="2:13" x14ac:dyDescent="0.25">
      <c r="B844" t="s">
        <v>1800</v>
      </c>
      <c r="C844">
        <v>15867387</v>
      </c>
      <c r="D844" t="str">
        <f>"4660015183325"</f>
        <v>4660015183325</v>
      </c>
      <c r="E844" t="s">
        <v>1834</v>
      </c>
      <c r="F844" t="s">
        <v>34</v>
      </c>
      <c r="G844">
        <v>0</v>
      </c>
      <c r="H844" t="s">
        <v>18</v>
      </c>
      <c r="I844" t="s">
        <v>754</v>
      </c>
      <c r="J844" t="s">
        <v>1556</v>
      </c>
      <c r="K844" s="1">
        <v>42840</v>
      </c>
      <c r="L844" t="s">
        <v>18</v>
      </c>
      <c r="M844" t="s">
        <v>1825</v>
      </c>
    </row>
    <row r="845" spans="2:13" x14ac:dyDescent="0.25">
      <c r="B845" t="s">
        <v>1800</v>
      </c>
      <c r="C845">
        <v>18182973</v>
      </c>
      <c r="D845" t="str">
        <f>"4627091397305"</f>
        <v>4627091397305</v>
      </c>
      <c r="E845" t="s">
        <v>1835</v>
      </c>
      <c r="F845" t="s">
        <v>227</v>
      </c>
      <c r="G845">
        <v>1</v>
      </c>
      <c r="H845" t="s">
        <v>18</v>
      </c>
      <c r="I845" t="s">
        <v>16</v>
      </c>
      <c r="J845" t="s">
        <v>854</v>
      </c>
      <c r="L845" t="s">
        <v>18</v>
      </c>
      <c r="M845" t="s">
        <v>1836</v>
      </c>
    </row>
    <row r="846" spans="2:13" x14ac:dyDescent="0.25">
      <c r="B846" t="s">
        <v>1800</v>
      </c>
      <c r="C846">
        <v>18182990</v>
      </c>
      <c r="D846" t="str">
        <f>"4627091397312"</f>
        <v>4627091397312</v>
      </c>
      <c r="E846" t="s">
        <v>1837</v>
      </c>
      <c r="F846" t="s">
        <v>285</v>
      </c>
      <c r="G846">
        <v>1</v>
      </c>
      <c r="H846" t="s">
        <v>18</v>
      </c>
      <c r="I846" t="s">
        <v>16</v>
      </c>
      <c r="J846" t="s">
        <v>854</v>
      </c>
      <c r="L846" t="s">
        <v>18</v>
      </c>
      <c r="M846" t="s">
        <v>1838</v>
      </c>
    </row>
    <row r="847" spans="2:13" x14ac:dyDescent="0.25">
      <c r="B847" t="s">
        <v>1800</v>
      </c>
      <c r="C847">
        <v>18183001</v>
      </c>
      <c r="D847" t="str">
        <f>"4627091397763"</f>
        <v>4627091397763</v>
      </c>
      <c r="E847" t="s">
        <v>1839</v>
      </c>
      <c r="F847" t="s">
        <v>21</v>
      </c>
      <c r="G847">
        <v>0</v>
      </c>
      <c r="H847" t="s">
        <v>18</v>
      </c>
      <c r="I847" t="s">
        <v>16</v>
      </c>
      <c r="J847" t="s">
        <v>854</v>
      </c>
      <c r="L847" t="s">
        <v>18</v>
      </c>
      <c r="M847" t="s">
        <v>1840</v>
      </c>
    </row>
    <row r="848" spans="2:13" x14ac:dyDescent="0.25">
      <c r="B848" t="s">
        <v>1800</v>
      </c>
      <c r="C848">
        <v>18369383</v>
      </c>
      <c r="D848" t="str">
        <f>"4660015187774"</f>
        <v>4660015187774</v>
      </c>
      <c r="E848" t="s">
        <v>1841</v>
      </c>
      <c r="F848" t="s">
        <v>379</v>
      </c>
      <c r="G848">
        <v>1</v>
      </c>
      <c r="H848" t="s">
        <v>18</v>
      </c>
      <c r="I848" t="s">
        <v>16</v>
      </c>
      <c r="J848" t="s">
        <v>1556</v>
      </c>
      <c r="L848" t="s">
        <v>18</v>
      </c>
      <c r="M848" t="s">
        <v>1842</v>
      </c>
    </row>
    <row r="849" spans="2:13" x14ac:dyDescent="0.25">
      <c r="B849" t="s">
        <v>1800</v>
      </c>
      <c r="C849">
        <v>18369439</v>
      </c>
      <c r="D849" t="str">
        <f>"4660015187798"</f>
        <v>4660015187798</v>
      </c>
      <c r="E849" t="s">
        <v>1843</v>
      </c>
      <c r="F849" t="s">
        <v>366</v>
      </c>
      <c r="G849">
        <v>1</v>
      </c>
      <c r="H849" t="s">
        <v>18</v>
      </c>
      <c r="I849" t="s">
        <v>16</v>
      </c>
      <c r="J849" t="s">
        <v>1556</v>
      </c>
      <c r="L849" t="s">
        <v>18</v>
      </c>
      <c r="M849" t="s">
        <v>1844</v>
      </c>
    </row>
    <row r="850" spans="2:13" x14ac:dyDescent="0.25">
      <c r="B850" t="s">
        <v>1800</v>
      </c>
      <c r="C850">
        <v>18369455</v>
      </c>
      <c r="D850" t="str">
        <f>"4660015187767"</f>
        <v>4660015187767</v>
      </c>
      <c r="E850" t="s">
        <v>1845</v>
      </c>
      <c r="F850" t="s">
        <v>649</v>
      </c>
      <c r="G850">
        <v>1</v>
      </c>
      <c r="H850" t="s">
        <v>18</v>
      </c>
      <c r="I850" t="s">
        <v>16</v>
      </c>
      <c r="J850" t="s">
        <v>1556</v>
      </c>
      <c r="L850" t="s">
        <v>18</v>
      </c>
      <c r="M850" t="s">
        <v>1846</v>
      </c>
    </row>
    <row r="851" spans="2:13" x14ac:dyDescent="0.25">
      <c r="B851" t="s">
        <v>1847</v>
      </c>
      <c r="C851">
        <v>13023180</v>
      </c>
      <c r="D851" t="str">
        <f>"8595065401821"</f>
        <v>8595065401821</v>
      </c>
      <c r="E851" t="s">
        <v>1848</v>
      </c>
      <c r="F851" t="s">
        <v>268</v>
      </c>
      <c r="G851">
        <v>1</v>
      </c>
      <c r="H851" t="s">
        <v>18</v>
      </c>
      <c r="I851" t="s">
        <v>16</v>
      </c>
      <c r="J851" t="s">
        <v>1150</v>
      </c>
      <c r="L851" t="s">
        <v>18</v>
      </c>
      <c r="M851" t="s">
        <v>1849</v>
      </c>
    </row>
    <row r="852" spans="2:13" x14ac:dyDescent="0.25">
      <c r="B852" t="s">
        <v>1847</v>
      </c>
      <c r="C852">
        <v>13023199</v>
      </c>
      <c r="D852" t="str">
        <f>"8595065401838"</f>
        <v>8595065401838</v>
      </c>
      <c r="E852" t="s">
        <v>1850</v>
      </c>
      <c r="F852" t="s">
        <v>379</v>
      </c>
      <c r="G852">
        <v>1</v>
      </c>
      <c r="H852" t="s">
        <v>18</v>
      </c>
      <c r="I852" t="s">
        <v>16</v>
      </c>
      <c r="J852" t="s">
        <v>1150</v>
      </c>
      <c r="L852" t="s">
        <v>18</v>
      </c>
      <c r="M852" t="s">
        <v>1851</v>
      </c>
    </row>
    <row r="853" spans="2:13" x14ac:dyDescent="0.25">
      <c r="B853" t="s">
        <v>1847</v>
      </c>
      <c r="C853">
        <v>13023236</v>
      </c>
      <c r="D853" t="str">
        <f>"8595065401852"</f>
        <v>8595065401852</v>
      </c>
      <c r="E853" t="s">
        <v>1852</v>
      </c>
      <c r="F853" t="s">
        <v>40</v>
      </c>
      <c r="G853">
        <v>1</v>
      </c>
      <c r="H853" t="s">
        <v>18</v>
      </c>
      <c r="I853" t="s">
        <v>16</v>
      </c>
      <c r="J853" t="s">
        <v>1150</v>
      </c>
      <c r="L853" t="s">
        <v>18</v>
      </c>
      <c r="M853" t="s">
        <v>1853</v>
      </c>
    </row>
    <row r="854" spans="2:13" x14ac:dyDescent="0.25">
      <c r="B854" t="s">
        <v>1847</v>
      </c>
      <c r="C854">
        <v>13023244</v>
      </c>
      <c r="D854" t="str">
        <f>"8595065401869"</f>
        <v>8595065401869</v>
      </c>
      <c r="E854" t="s">
        <v>1854</v>
      </c>
      <c r="F854" t="s">
        <v>310</v>
      </c>
      <c r="G854">
        <v>1</v>
      </c>
      <c r="H854" t="s">
        <v>18</v>
      </c>
      <c r="I854" t="s">
        <v>16</v>
      </c>
      <c r="J854" t="s">
        <v>1150</v>
      </c>
      <c r="L854" t="s">
        <v>18</v>
      </c>
      <c r="M854" t="s">
        <v>1855</v>
      </c>
    </row>
    <row r="855" spans="2:13" x14ac:dyDescent="0.25">
      <c r="B855" t="s">
        <v>1847</v>
      </c>
      <c r="C855">
        <v>13023252</v>
      </c>
      <c r="D855" t="str">
        <f>"8595065401876"</f>
        <v>8595065401876</v>
      </c>
      <c r="E855" t="s">
        <v>1856</v>
      </c>
      <c r="F855" t="s">
        <v>34</v>
      </c>
      <c r="G855">
        <v>0</v>
      </c>
      <c r="H855" t="s">
        <v>18</v>
      </c>
      <c r="I855" t="s">
        <v>754</v>
      </c>
      <c r="J855" t="s">
        <v>1150</v>
      </c>
      <c r="K855" s="1">
        <v>42840</v>
      </c>
      <c r="L855" t="s">
        <v>18</v>
      </c>
      <c r="M855" t="s">
        <v>1857</v>
      </c>
    </row>
    <row r="856" spans="2:13" x14ac:dyDescent="0.25">
      <c r="B856" t="s">
        <v>1847</v>
      </c>
      <c r="C856">
        <v>13023260</v>
      </c>
      <c r="D856" t="str">
        <f>"8595065401883"</f>
        <v>8595065401883</v>
      </c>
      <c r="E856" t="s">
        <v>1858</v>
      </c>
      <c r="F856" t="s">
        <v>525</v>
      </c>
      <c r="G856">
        <v>1</v>
      </c>
      <c r="H856" t="s">
        <v>18</v>
      </c>
      <c r="I856" t="s">
        <v>16</v>
      </c>
      <c r="J856" t="s">
        <v>1150</v>
      </c>
      <c r="L856" t="s">
        <v>18</v>
      </c>
      <c r="M856" t="s">
        <v>927</v>
      </c>
    </row>
    <row r="857" spans="2:13" x14ac:dyDescent="0.25">
      <c r="B857" t="s">
        <v>1847</v>
      </c>
      <c r="C857">
        <v>13023279</v>
      </c>
      <c r="D857" t="str">
        <f>"8595065401890"</f>
        <v>8595065401890</v>
      </c>
      <c r="E857" t="s">
        <v>1859</v>
      </c>
      <c r="F857" t="s">
        <v>34</v>
      </c>
      <c r="G857">
        <v>0</v>
      </c>
      <c r="H857" t="s">
        <v>18</v>
      </c>
      <c r="I857" t="s">
        <v>754</v>
      </c>
      <c r="J857" t="s">
        <v>1150</v>
      </c>
      <c r="K857" s="1">
        <v>42840</v>
      </c>
      <c r="L857" t="s">
        <v>18</v>
      </c>
      <c r="M857" t="s">
        <v>1860</v>
      </c>
    </row>
    <row r="858" spans="2:13" x14ac:dyDescent="0.25">
      <c r="B858" t="s">
        <v>1847</v>
      </c>
      <c r="C858">
        <v>13023287</v>
      </c>
      <c r="D858" t="str">
        <f>"8595065401906"</f>
        <v>8595065401906</v>
      </c>
      <c r="E858" t="s">
        <v>1861</v>
      </c>
      <c r="F858" t="s">
        <v>413</v>
      </c>
      <c r="G858">
        <v>1</v>
      </c>
      <c r="H858" t="s">
        <v>18</v>
      </c>
      <c r="I858" t="s">
        <v>16</v>
      </c>
      <c r="J858" t="s">
        <v>1150</v>
      </c>
      <c r="L858" t="s">
        <v>18</v>
      </c>
      <c r="M858" t="s">
        <v>1862</v>
      </c>
    </row>
    <row r="859" spans="2:13" x14ac:dyDescent="0.25">
      <c r="B859" t="s">
        <v>1847</v>
      </c>
      <c r="C859">
        <v>13023295</v>
      </c>
      <c r="D859" t="str">
        <f>"8595065401913"</f>
        <v>8595065401913</v>
      </c>
      <c r="E859" t="s">
        <v>1863</v>
      </c>
      <c r="F859" t="s">
        <v>389</v>
      </c>
      <c r="G859">
        <v>1</v>
      </c>
      <c r="H859" t="s">
        <v>18</v>
      </c>
      <c r="I859" t="s">
        <v>16</v>
      </c>
      <c r="J859" t="s">
        <v>1150</v>
      </c>
      <c r="L859" t="s">
        <v>18</v>
      </c>
      <c r="M859" t="s">
        <v>874</v>
      </c>
    </row>
    <row r="860" spans="2:13" x14ac:dyDescent="0.25">
      <c r="B860" t="s">
        <v>1847</v>
      </c>
      <c r="C860">
        <v>13023308</v>
      </c>
      <c r="D860" t="str">
        <f>"8595065401920"</f>
        <v>8595065401920</v>
      </c>
      <c r="E860" t="s">
        <v>1864</v>
      </c>
      <c r="F860" t="s">
        <v>277</v>
      </c>
      <c r="G860">
        <v>1</v>
      </c>
      <c r="H860" t="s">
        <v>18</v>
      </c>
      <c r="I860" t="s">
        <v>16</v>
      </c>
      <c r="J860" t="s">
        <v>1150</v>
      </c>
      <c r="L860" t="s">
        <v>18</v>
      </c>
      <c r="M860" t="s">
        <v>1865</v>
      </c>
    </row>
    <row r="861" spans="2:13" x14ac:dyDescent="0.25">
      <c r="B861" t="s">
        <v>1847</v>
      </c>
      <c r="C861">
        <v>13023316</v>
      </c>
      <c r="D861" t="str">
        <f>"8595065401937"</f>
        <v>8595065401937</v>
      </c>
      <c r="E861" t="s">
        <v>1866</v>
      </c>
      <c r="F861" t="s">
        <v>389</v>
      </c>
      <c r="G861">
        <v>1</v>
      </c>
      <c r="H861" t="s">
        <v>18</v>
      </c>
      <c r="I861" t="s">
        <v>16</v>
      </c>
      <c r="J861" t="s">
        <v>1150</v>
      </c>
      <c r="L861" t="s">
        <v>18</v>
      </c>
      <c r="M861" t="s">
        <v>1867</v>
      </c>
    </row>
    <row r="862" spans="2:13" x14ac:dyDescent="0.25">
      <c r="B862" t="s">
        <v>1847</v>
      </c>
      <c r="C862">
        <v>13023324</v>
      </c>
      <c r="D862" t="str">
        <f>"8595065401944"</f>
        <v>8595065401944</v>
      </c>
      <c r="E862" t="s">
        <v>1868</v>
      </c>
      <c r="F862" t="s">
        <v>40</v>
      </c>
      <c r="G862">
        <v>1</v>
      </c>
      <c r="H862" t="s">
        <v>18</v>
      </c>
      <c r="I862" t="s">
        <v>16</v>
      </c>
      <c r="J862" t="s">
        <v>1150</v>
      </c>
      <c r="L862" t="s">
        <v>18</v>
      </c>
      <c r="M862" t="s">
        <v>1869</v>
      </c>
    </row>
    <row r="863" spans="2:13" x14ac:dyDescent="0.25">
      <c r="B863" t="s">
        <v>1847</v>
      </c>
      <c r="C863">
        <v>15802639</v>
      </c>
      <c r="D863" t="str">
        <f>"4627091394656"</f>
        <v>4627091394656</v>
      </c>
      <c r="E863" t="s">
        <v>1870</v>
      </c>
      <c r="F863" t="s">
        <v>31</v>
      </c>
      <c r="G863">
        <v>0</v>
      </c>
      <c r="H863" t="s">
        <v>18</v>
      </c>
      <c r="I863" t="s">
        <v>754</v>
      </c>
      <c r="J863" t="s">
        <v>854</v>
      </c>
      <c r="K863" s="1">
        <v>42819</v>
      </c>
      <c r="L863" t="s">
        <v>18</v>
      </c>
      <c r="M863" t="s">
        <v>1871</v>
      </c>
    </row>
    <row r="864" spans="2:13" x14ac:dyDescent="0.25">
      <c r="B864" t="s">
        <v>1847</v>
      </c>
      <c r="C864">
        <v>15802727</v>
      </c>
      <c r="D864" t="str">
        <f>"4627091394700"</f>
        <v>4627091394700</v>
      </c>
      <c r="E864" t="s">
        <v>1872</v>
      </c>
      <c r="F864" t="s">
        <v>379</v>
      </c>
      <c r="G864">
        <v>1</v>
      </c>
      <c r="H864" t="s">
        <v>18</v>
      </c>
      <c r="I864" t="s">
        <v>16</v>
      </c>
      <c r="J864" t="s">
        <v>854</v>
      </c>
      <c r="L864" t="s">
        <v>18</v>
      </c>
      <c r="M864" t="s">
        <v>1873</v>
      </c>
    </row>
    <row r="865" spans="2:13" x14ac:dyDescent="0.25">
      <c r="B865" t="s">
        <v>1847</v>
      </c>
      <c r="C865">
        <v>18182957</v>
      </c>
      <c r="D865" t="str">
        <f>"4627091397664"</f>
        <v>4627091397664</v>
      </c>
      <c r="E865" t="s">
        <v>1874</v>
      </c>
      <c r="F865" t="s">
        <v>114</v>
      </c>
      <c r="G865">
        <v>1</v>
      </c>
      <c r="H865" t="s">
        <v>18</v>
      </c>
      <c r="I865" t="s">
        <v>16</v>
      </c>
      <c r="J865" t="s">
        <v>854</v>
      </c>
      <c r="L865" t="s">
        <v>18</v>
      </c>
      <c r="M865" t="s">
        <v>1875</v>
      </c>
    </row>
    <row r="866" spans="2:13" x14ac:dyDescent="0.25">
      <c r="B866" t="s">
        <v>1847</v>
      </c>
      <c r="C866">
        <v>18182965</v>
      </c>
      <c r="D866" t="str">
        <f>"4627091397671"</f>
        <v>4627091397671</v>
      </c>
      <c r="E866" t="s">
        <v>1876</v>
      </c>
      <c r="F866" t="s">
        <v>310</v>
      </c>
      <c r="G866">
        <v>1</v>
      </c>
      <c r="H866" t="s">
        <v>18</v>
      </c>
      <c r="I866" t="s">
        <v>16</v>
      </c>
      <c r="J866" t="s">
        <v>854</v>
      </c>
      <c r="L866" t="s">
        <v>18</v>
      </c>
      <c r="M866" t="s">
        <v>1877</v>
      </c>
    </row>
    <row r="867" spans="2:13" x14ac:dyDescent="0.25">
      <c r="B867" t="s">
        <v>1847</v>
      </c>
      <c r="C867">
        <v>18182981</v>
      </c>
      <c r="D867" t="str">
        <f>"4627091397657"</f>
        <v>4627091397657</v>
      </c>
      <c r="E867" t="s">
        <v>1878</v>
      </c>
      <c r="F867" t="s">
        <v>285</v>
      </c>
      <c r="G867">
        <v>1</v>
      </c>
      <c r="H867" t="s">
        <v>18</v>
      </c>
      <c r="I867" t="s">
        <v>16</v>
      </c>
      <c r="J867" t="s">
        <v>854</v>
      </c>
      <c r="L867" t="s">
        <v>18</v>
      </c>
      <c r="M867" t="s">
        <v>850</v>
      </c>
    </row>
    <row r="868" spans="2:13" x14ac:dyDescent="0.25">
      <c r="B868" t="s">
        <v>1847</v>
      </c>
      <c r="C868">
        <v>18194000</v>
      </c>
      <c r="D868" t="str">
        <f>"4680018340327"</f>
        <v>4680018340327</v>
      </c>
      <c r="E868" t="s">
        <v>1879</v>
      </c>
      <c r="F868" t="s">
        <v>1880</v>
      </c>
      <c r="G868">
        <v>1</v>
      </c>
      <c r="H868" t="s">
        <v>18</v>
      </c>
      <c r="I868" t="s">
        <v>16</v>
      </c>
      <c r="J868" t="s">
        <v>1682</v>
      </c>
      <c r="L868" t="s">
        <v>18</v>
      </c>
      <c r="M868" t="s">
        <v>1881</v>
      </c>
    </row>
    <row r="869" spans="2:13" x14ac:dyDescent="0.25">
      <c r="B869" t="s">
        <v>1847</v>
      </c>
      <c r="C869">
        <v>18194018</v>
      </c>
      <c r="D869" t="str">
        <f>"4680018340334"</f>
        <v>4680018340334</v>
      </c>
      <c r="E869" t="s">
        <v>1882</v>
      </c>
      <c r="F869" t="s">
        <v>858</v>
      </c>
      <c r="G869">
        <v>1</v>
      </c>
      <c r="H869" t="s">
        <v>18</v>
      </c>
      <c r="I869" t="s">
        <v>16</v>
      </c>
      <c r="J869" t="s">
        <v>1682</v>
      </c>
      <c r="L869" t="s">
        <v>18</v>
      </c>
      <c r="M869" t="s">
        <v>1881</v>
      </c>
    </row>
    <row r="870" spans="2:13" x14ac:dyDescent="0.25">
      <c r="B870" t="s">
        <v>1847</v>
      </c>
      <c r="C870">
        <v>18194026</v>
      </c>
      <c r="D870" t="str">
        <f>"4680018340341"</f>
        <v>4680018340341</v>
      </c>
      <c r="E870" t="s">
        <v>1883</v>
      </c>
      <c r="F870" t="s">
        <v>1524</v>
      </c>
      <c r="G870">
        <v>1</v>
      </c>
      <c r="H870" t="s">
        <v>18</v>
      </c>
      <c r="I870" t="s">
        <v>16</v>
      </c>
      <c r="J870" t="s">
        <v>1682</v>
      </c>
      <c r="L870" t="s">
        <v>18</v>
      </c>
      <c r="M870" t="s">
        <v>1881</v>
      </c>
    </row>
    <row r="871" spans="2:13" x14ac:dyDescent="0.25">
      <c r="B871" t="s">
        <v>1847</v>
      </c>
      <c r="C871">
        <v>18194034</v>
      </c>
      <c r="D871" t="str">
        <f>"4680018340358"</f>
        <v>4680018340358</v>
      </c>
      <c r="E871" t="s">
        <v>1884</v>
      </c>
      <c r="F871" t="s">
        <v>858</v>
      </c>
      <c r="G871">
        <v>1</v>
      </c>
      <c r="H871" t="s">
        <v>18</v>
      </c>
      <c r="I871" t="s">
        <v>16</v>
      </c>
      <c r="J871" t="s">
        <v>1682</v>
      </c>
      <c r="L871" t="s">
        <v>18</v>
      </c>
      <c r="M871" t="s">
        <v>1881</v>
      </c>
    </row>
    <row r="872" spans="2:13" x14ac:dyDescent="0.25">
      <c r="B872" t="s">
        <v>1847</v>
      </c>
      <c r="C872">
        <v>18194042</v>
      </c>
      <c r="D872" t="str">
        <f>"4680018340365"</f>
        <v>4680018340365</v>
      </c>
      <c r="E872" t="s">
        <v>1885</v>
      </c>
      <c r="F872" t="s">
        <v>847</v>
      </c>
      <c r="G872">
        <v>1</v>
      </c>
      <c r="H872" t="s">
        <v>18</v>
      </c>
      <c r="I872" t="s">
        <v>16</v>
      </c>
      <c r="J872" t="s">
        <v>1682</v>
      </c>
      <c r="L872" t="s">
        <v>18</v>
      </c>
      <c r="M872" t="s">
        <v>1886</v>
      </c>
    </row>
    <row r="873" spans="2:13" x14ac:dyDescent="0.25">
      <c r="B873" t="s">
        <v>1847</v>
      </c>
      <c r="C873">
        <v>49071060</v>
      </c>
      <c r="E873" t="s">
        <v>1887</v>
      </c>
      <c r="G873">
        <v>1</v>
      </c>
      <c r="H873" t="s">
        <v>18</v>
      </c>
      <c r="I873" t="s">
        <v>16</v>
      </c>
      <c r="L873" t="s">
        <v>18</v>
      </c>
      <c r="M873" t="s">
        <v>224</v>
      </c>
    </row>
    <row r="874" spans="2:13" x14ac:dyDescent="0.25">
      <c r="B874" t="s">
        <v>1888</v>
      </c>
      <c r="C874">
        <v>12605912</v>
      </c>
      <c r="D874" t="str">
        <f>"4620739840072"</f>
        <v>4620739840072</v>
      </c>
      <c r="E874" t="s">
        <v>1889</v>
      </c>
      <c r="F874" t="s">
        <v>1615</v>
      </c>
      <c r="G874">
        <v>1</v>
      </c>
      <c r="H874" t="s">
        <v>18</v>
      </c>
      <c r="I874" t="s">
        <v>16</v>
      </c>
      <c r="J874" t="s">
        <v>1525</v>
      </c>
      <c r="L874" t="s">
        <v>18</v>
      </c>
      <c r="M874" t="s">
        <v>1890</v>
      </c>
    </row>
    <row r="875" spans="2:13" x14ac:dyDescent="0.25">
      <c r="B875" t="s">
        <v>1888</v>
      </c>
      <c r="C875">
        <v>13176881</v>
      </c>
      <c r="D875" t="str">
        <f>"4630021680163"</f>
        <v>4630021680163</v>
      </c>
      <c r="E875" t="s">
        <v>1891</v>
      </c>
      <c r="F875" t="s">
        <v>240</v>
      </c>
      <c r="G875">
        <v>1</v>
      </c>
      <c r="H875" t="s">
        <v>18</v>
      </c>
      <c r="I875" t="s">
        <v>16</v>
      </c>
      <c r="J875" t="s">
        <v>1525</v>
      </c>
      <c r="L875" t="s">
        <v>18</v>
      </c>
      <c r="M875" t="s">
        <v>762</v>
      </c>
    </row>
    <row r="876" spans="2:13" x14ac:dyDescent="0.25">
      <c r="B876" t="s">
        <v>1888</v>
      </c>
      <c r="C876">
        <v>13176910</v>
      </c>
      <c r="D876" t="str">
        <f>"4630021680170"</f>
        <v>4630021680170</v>
      </c>
      <c r="E876" t="s">
        <v>1892</v>
      </c>
      <c r="F876" t="s">
        <v>889</v>
      </c>
      <c r="G876">
        <v>1</v>
      </c>
      <c r="H876" t="s">
        <v>18</v>
      </c>
      <c r="I876" t="s">
        <v>16</v>
      </c>
      <c r="J876" t="s">
        <v>1525</v>
      </c>
      <c r="L876" t="s">
        <v>18</v>
      </c>
      <c r="M876" t="s">
        <v>1893</v>
      </c>
    </row>
    <row r="877" spans="2:13" x14ac:dyDescent="0.25">
      <c r="B877" t="s">
        <v>1888</v>
      </c>
      <c r="C877">
        <v>13176996</v>
      </c>
      <c r="D877" t="str">
        <f>"4630021680187"</f>
        <v>4630021680187</v>
      </c>
      <c r="E877" t="s">
        <v>1894</v>
      </c>
      <c r="F877" t="s">
        <v>788</v>
      </c>
      <c r="G877">
        <v>1</v>
      </c>
      <c r="H877" t="s">
        <v>18</v>
      </c>
      <c r="I877" t="s">
        <v>16</v>
      </c>
      <c r="J877" t="s">
        <v>1525</v>
      </c>
      <c r="L877" t="s">
        <v>18</v>
      </c>
      <c r="M877" t="s">
        <v>1895</v>
      </c>
    </row>
    <row r="878" spans="2:13" x14ac:dyDescent="0.25">
      <c r="B878" t="s">
        <v>1888</v>
      </c>
      <c r="C878">
        <v>13799093</v>
      </c>
      <c r="D878" t="str">
        <f>"4620765850120"</f>
        <v>4620765850120</v>
      </c>
      <c r="E878" t="s">
        <v>1896</v>
      </c>
      <c r="F878" t="s">
        <v>466</v>
      </c>
      <c r="G878">
        <v>1</v>
      </c>
      <c r="H878" t="s">
        <v>18</v>
      </c>
      <c r="I878" t="s">
        <v>16</v>
      </c>
      <c r="J878" t="s">
        <v>854</v>
      </c>
      <c r="L878" t="s">
        <v>18</v>
      </c>
      <c r="M878" t="s">
        <v>809</v>
      </c>
    </row>
    <row r="879" spans="2:13" x14ac:dyDescent="0.25">
      <c r="B879" t="s">
        <v>1888</v>
      </c>
      <c r="C879">
        <v>13799165</v>
      </c>
      <c r="D879" t="str">
        <f>"4620765850137"</f>
        <v>4620765850137</v>
      </c>
      <c r="E879" t="s">
        <v>1897</v>
      </c>
      <c r="F879" t="s">
        <v>442</v>
      </c>
      <c r="G879">
        <v>1</v>
      </c>
      <c r="H879" t="s">
        <v>18</v>
      </c>
      <c r="I879" t="s">
        <v>16</v>
      </c>
      <c r="J879" t="s">
        <v>854</v>
      </c>
      <c r="L879" t="s">
        <v>18</v>
      </c>
      <c r="M879" t="s">
        <v>1898</v>
      </c>
    </row>
    <row r="880" spans="2:13" x14ac:dyDescent="0.25">
      <c r="B880" t="s">
        <v>1888</v>
      </c>
      <c r="C880">
        <v>13799181</v>
      </c>
      <c r="D880" t="str">
        <f>"4620765850144"</f>
        <v>4620765850144</v>
      </c>
      <c r="E880" t="s">
        <v>1899</v>
      </c>
      <c r="F880" t="s">
        <v>328</v>
      </c>
      <c r="G880">
        <v>1</v>
      </c>
      <c r="H880" t="s">
        <v>18</v>
      </c>
      <c r="I880" t="s">
        <v>16</v>
      </c>
      <c r="J880" t="s">
        <v>854</v>
      </c>
      <c r="L880" t="s">
        <v>18</v>
      </c>
      <c r="M880" t="s">
        <v>1900</v>
      </c>
    </row>
    <row r="881" spans="2:13" x14ac:dyDescent="0.25">
      <c r="B881" t="s">
        <v>1888</v>
      </c>
      <c r="C881">
        <v>13799253</v>
      </c>
      <c r="D881" t="str">
        <f>"4620765850076"</f>
        <v>4620765850076</v>
      </c>
      <c r="E881" t="s">
        <v>1901</v>
      </c>
      <c r="F881" t="s">
        <v>366</v>
      </c>
      <c r="G881">
        <v>1</v>
      </c>
      <c r="H881" t="s">
        <v>18</v>
      </c>
      <c r="I881" t="s">
        <v>16</v>
      </c>
      <c r="J881" t="s">
        <v>854</v>
      </c>
      <c r="L881" t="s">
        <v>18</v>
      </c>
      <c r="M881" t="s">
        <v>1902</v>
      </c>
    </row>
    <row r="882" spans="2:13" x14ac:dyDescent="0.25">
      <c r="B882" t="s">
        <v>1888</v>
      </c>
      <c r="C882">
        <v>13799288</v>
      </c>
      <c r="D882" t="str">
        <f>"4620765850069"</f>
        <v>4620765850069</v>
      </c>
      <c r="E882" t="s">
        <v>1903</v>
      </c>
      <c r="F882" t="s">
        <v>389</v>
      </c>
      <c r="G882">
        <v>1</v>
      </c>
      <c r="H882" t="s">
        <v>18</v>
      </c>
      <c r="I882" t="s">
        <v>16</v>
      </c>
      <c r="J882" t="s">
        <v>854</v>
      </c>
      <c r="L882" t="s">
        <v>18</v>
      </c>
      <c r="M882" t="s">
        <v>1904</v>
      </c>
    </row>
    <row r="883" spans="2:13" x14ac:dyDescent="0.25">
      <c r="B883" t="s">
        <v>1888</v>
      </c>
      <c r="C883">
        <v>13799480</v>
      </c>
      <c r="D883" t="str">
        <f>"4607157118716"</f>
        <v>4607157118716</v>
      </c>
      <c r="E883" t="s">
        <v>1905</v>
      </c>
      <c r="F883" t="s">
        <v>1906</v>
      </c>
      <c r="G883">
        <v>1</v>
      </c>
      <c r="H883" t="s">
        <v>18</v>
      </c>
      <c r="I883" t="s">
        <v>16</v>
      </c>
      <c r="J883" t="s">
        <v>1556</v>
      </c>
      <c r="L883" t="s">
        <v>18</v>
      </c>
      <c r="M883" t="s">
        <v>1907</v>
      </c>
    </row>
    <row r="884" spans="2:13" x14ac:dyDescent="0.25">
      <c r="B884" t="s">
        <v>1888</v>
      </c>
      <c r="C884">
        <v>13902804</v>
      </c>
      <c r="D884" t="str">
        <f>"4620765850014"</f>
        <v>4620765850014</v>
      </c>
      <c r="E884" t="s">
        <v>1908</v>
      </c>
      <c r="F884" t="s">
        <v>227</v>
      </c>
      <c r="G884">
        <v>1</v>
      </c>
      <c r="H884" t="s">
        <v>18</v>
      </c>
      <c r="I884" t="s">
        <v>16</v>
      </c>
      <c r="J884" t="s">
        <v>854</v>
      </c>
      <c r="L884" t="s">
        <v>18</v>
      </c>
      <c r="M884" t="s">
        <v>1678</v>
      </c>
    </row>
    <row r="885" spans="2:13" x14ac:dyDescent="0.25">
      <c r="B885" t="s">
        <v>1888</v>
      </c>
      <c r="C885">
        <v>14277086</v>
      </c>
      <c r="D885" t="str">
        <f>"4620765858829"</f>
        <v>4620765858829</v>
      </c>
      <c r="E885" t="s">
        <v>1909</v>
      </c>
      <c r="F885" t="s">
        <v>31</v>
      </c>
      <c r="G885">
        <v>1</v>
      </c>
      <c r="H885" t="s">
        <v>18</v>
      </c>
      <c r="I885" t="s">
        <v>16</v>
      </c>
      <c r="J885" t="s">
        <v>854</v>
      </c>
      <c r="L885" t="s">
        <v>18</v>
      </c>
      <c r="M885" t="s">
        <v>1910</v>
      </c>
    </row>
    <row r="886" spans="2:13" x14ac:dyDescent="0.25">
      <c r="B886" t="s">
        <v>1888</v>
      </c>
      <c r="C886">
        <v>14327792</v>
      </c>
      <c r="D886" t="str">
        <f>"4640012302424"</f>
        <v>4640012302424</v>
      </c>
      <c r="E886" t="s">
        <v>1911</v>
      </c>
      <c r="F886" t="s">
        <v>14</v>
      </c>
      <c r="G886">
        <v>0</v>
      </c>
      <c r="H886" t="s">
        <v>18</v>
      </c>
      <c r="I886" t="s">
        <v>754</v>
      </c>
      <c r="J886" t="s">
        <v>1912</v>
      </c>
      <c r="K886" s="1">
        <v>42916</v>
      </c>
      <c r="L886" t="s">
        <v>18</v>
      </c>
      <c r="M886" t="s">
        <v>1913</v>
      </c>
    </row>
    <row r="887" spans="2:13" x14ac:dyDescent="0.25">
      <c r="B887" t="s">
        <v>1888</v>
      </c>
      <c r="C887">
        <v>14673311</v>
      </c>
      <c r="D887" t="str">
        <f>"4620765850090"</f>
        <v>4620765850090</v>
      </c>
      <c r="E887" t="s">
        <v>1914</v>
      </c>
      <c r="F887" t="s">
        <v>1915</v>
      </c>
      <c r="G887">
        <v>1</v>
      </c>
      <c r="H887" t="s">
        <v>18</v>
      </c>
      <c r="I887" t="s">
        <v>16</v>
      </c>
      <c r="J887" t="s">
        <v>854</v>
      </c>
      <c r="L887" t="s">
        <v>18</v>
      </c>
      <c r="M887" t="s">
        <v>1392</v>
      </c>
    </row>
    <row r="888" spans="2:13" x14ac:dyDescent="0.25">
      <c r="B888" t="s">
        <v>1888</v>
      </c>
      <c r="C888">
        <v>15718293</v>
      </c>
      <c r="D888" t="str">
        <f>"4680018341171"</f>
        <v>4680018341171</v>
      </c>
      <c r="E888" t="s">
        <v>1916</v>
      </c>
      <c r="F888" t="s">
        <v>1917</v>
      </c>
      <c r="G888">
        <v>1</v>
      </c>
      <c r="H888" t="s">
        <v>18</v>
      </c>
      <c r="I888" t="s">
        <v>16</v>
      </c>
      <c r="J888" t="s">
        <v>1682</v>
      </c>
      <c r="L888" t="s">
        <v>18</v>
      </c>
      <c r="M888" t="s">
        <v>781</v>
      </c>
    </row>
    <row r="889" spans="2:13" x14ac:dyDescent="0.25">
      <c r="B889" t="s">
        <v>1888</v>
      </c>
      <c r="C889">
        <v>15718306</v>
      </c>
      <c r="D889" t="str">
        <f>"4680018341157"</f>
        <v>4680018341157</v>
      </c>
      <c r="E889" t="s">
        <v>1918</v>
      </c>
      <c r="F889" t="s">
        <v>1919</v>
      </c>
      <c r="G889">
        <v>1</v>
      </c>
      <c r="H889" t="s">
        <v>18</v>
      </c>
      <c r="I889" t="s">
        <v>16</v>
      </c>
      <c r="J889" t="s">
        <v>1682</v>
      </c>
      <c r="L889" t="s">
        <v>18</v>
      </c>
      <c r="M889" t="s">
        <v>812</v>
      </c>
    </row>
    <row r="890" spans="2:13" x14ac:dyDescent="0.25">
      <c r="B890" t="s">
        <v>1888</v>
      </c>
      <c r="C890">
        <v>15918308</v>
      </c>
      <c r="D890" t="str">
        <f>"4640012302431"</f>
        <v>4640012302431</v>
      </c>
      <c r="E890" t="s">
        <v>1920</v>
      </c>
      <c r="F890" t="s">
        <v>24</v>
      </c>
      <c r="G890">
        <v>0</v>
      </c>
      <c r="H890" t="s">
        <v>18</v>
      </c>
      <c r="I890" t="s">
        <v>754</v>
      </c>
      <c r="J890" t="s">
        <v>1912</v>
      </c>
      <c r="K890" s="1">
        <v>42916</v>
      </c>
      <c r="L890" t="s">
        <v>18</v>
      </c>
      <c r="M890" t="s">
        <v>1831</v>
      </c>
    </row>
    <row r="891" spans="2:13" x14ac:dyDescent="0.25">
      <c r="B891" t="s">
        <v>1888</v>
      </c>
      <c r="C891">
        <v>15918324</v>
      </c>
      <c r="D891" t="str">
        <f>"4640012304510"</f>
        <v>4640012304510</v>
      </c>
      <c r="E891" t="s">
        <v>1921</v>
      </c>
      <c r="F891" t="s">
        <v>14</v>
      </c>
      <c r="G891">
        <v>0</v>
      </c>
      <c r="H891" t="s">
        <v>18</v>
      </c>
      <c r="I891" t="s">
        <v>754</v>
      </c>
      <c r="J891" t="s">
        <v>1912</v>
      </c>
      <c r="K891" s="1">
        <v>42916</v>
      </c>
      <c r="L891" t="s">
        <v>18</v>
      </c>
      <c r="M891" t="s">
        <v>1922</v>
      </c>
    </row>
    <row r="892" spans="2:13" x14ac:dyDescent="0.25">
      <c r="B892" t="s">
        <v>1888</v>
      </c>
      <c r="C892">
        <v>17090444</v>
      </c>
      <c r="D892" t="str">
        <f>"4680018341638"</f>
        <v>4680018341638</v>
      </c>
      <c r="E892" t="s">
        <v>1923</v>
      </c>
      <c r="F892" t="s">
        <v>21</v>
      </c>
      <c r="G892">
        <v>1</v>
      </c>
      <c r="H892" t="s">
        <v>18</v>
      </c>
      <c r="I892" t="s">
        <v>16</v>
      </c>
      <c r="J892" t="s">
        <v>1682</v>
      </c>
      <c r="L892" t="s">
        <v>18</v>
      </c>
      <c r="M892" t="s">
        <v>1924</v>
      </c>
    </row>
    <row r="893" spans="2:13" x14ac:dyDescent="0.25">
      <c r="B893" t="s">
        <v>1888</v>
      </c>
      <c r="C893">
        <v>17904487</v>
      </c>
      <c r="D893" t="str">
        <f>"3276000039990"</f>
        <v>3276000039990</v>
      </c>
      <c r="E893" t="s">
        <v>1925</v>
      </c>
      <c r="F893" t="s">
        <v>194</v>
      </c>
      <c r="G893">
        <v>1</v>
      </c>
      <c r="H893" t="s">
        <v>18</v>
      </c>
      <c r="I893" t="s">
        <v>16</v>
      </c>
      <c r="J893" t="s">
        <v>28</v>
      </c>
      <c r="L893" t="s">
        <v>18</v>
      </c>
      <c r="M893" t="s">
        <v>1669</v>
      </c>
    </row>
    <row r="894" spans="2:13" x14ac:dyDescent="0.25">
      <c r="B894" t="s">
        <v>1888</v>
      </c>
      <c r="C894">
        <v>18030515</v>
      </c>
      <c r="D894" t="str">
        <f>"4627091396803"</f>
        <v>4627091396803</v>
      </c>
      <c r="E894" t="s">
        <v>1926</v>
      </c>
      <c r="F894" t="s">
        <v>170</v>
      </c>
      <c r="G894">
        <v>1</v>
      </c>
      <c r="H894" t="s">
        <v>18</v>
      </c>
      <c r="I894" t="s">
        <v>16</v>
      </c>
      <c r="J894" t="s">
        <v>854</v>
      </c>
      <c r="L894" t="s">
        <v>18</v>
      </c>
      <c r="M894" t="s">
        <v>1927</v>
      </c>
    </row>
    <row r="895" spans="2:13" x14ac:dyDescent="0.25">
      <c r="B895" t="s">
        <v>1888</v>
      </c>
      <c r="C895">
        <v>18182885</v>
      </c>
      <c r="D895" t="str">
        <f>"4627091397619"</f>
        <v>4627091397619</v>
      </c>
      <c r="E895" t="s">
        <v>1928</v>
      </c>
      <c r="F895" t="s">
        <v>1168</v>
      </c>
      <c r="G895">
        <v>1</v>
      </c>
      <c r="H895" t="s">
        <v>18</v>
      </c>
      <c r="I895" t="s">
        <v>16</v>
      </c>
      <c r="J895" t="s">
        <v>854</v>
      </c>
      <c r="L895" t="s">
        <v>18</v>
      </c>
      <c r="M895" t="s">
        <v>1601</v>
      </c>
    </row>
    <row r="896" spans="2:13" x14ac:dyDescent="0.25">
      <c r="B896" t="s">
        <v>1888</v>
      </c>
      <c r="C896">
        <v>18182893</v>
      </c>
      <c r="D896" t="str">
        <f>"4627091397626"</f>
        <v>4627091397626</v>
      </c>
      <c r="E896" t="s">
        <v>1929</v>
      </c>
      <c r="F896" t="s">
        <v>1025</v>
      </c>
      <c r="G896">
        <v>1</v>
      </c>
      <c r="H896" t="s">
        <v>18</v>
      </c>
      <c r="I896" t="s">
        <v>16</v>
      </c>
      <c r="J896" t="s">
        <v>854</v>
      </c>
      <c r="L896" t="s">
        <v>18</v>
      </c>
      <c r="M896" t="s">
        <v>1623</v>
      </c>
    </row>
    <row r="897" spans="2:13" x14ac:dyDescent="0.25">
      <c r="B897" t="s">
        <v>1888</v>
      </c>
      <c r="C897">
        <v>18182906</v>
      </c>
      <c r="D897" t="str">
        <f>"4627091397688"</f>
        <v>4627091397688</v>
      </c>
      <c r="E897" t="s">
        <v>1930</v>
      </c>
      <c r="F897" t="s">
        <v>48</v>
      </c>
      <c r="G897">
        <v>1</v>
      </c>
      <c r="H897" t="s">
        <v>18</v>
      </c>
      <c r="I897" t="s">
        <v>16</v>
      </c>
      <c r="J897" t="s">
        <v>854</v>
      </c>
      <c r="L897" t="s">
        <v>18</v>
      </c>
      <c r="M897" t="s">
        <v>929</v>
      </c>
    </row>
    <row r="898" spans="2:13" x14ac:dyDescent="0.25">
      <c r="B898" t="s">
        <v>1888</v>
      </c>
      <c r="C898">
        <v>18182914</v>
      </c>
      <c r="D898" t="str">
        <f>"4627091397695"</f>
        <v>4627091397695</v>
      </c>
      <c r="E898" t="s">
        <v>1931</v>
      </c>
      <c r="F898" t="s">
        <v>60</v>
      </c>
      <c r="G898">
        <v>1</v>
      </c>
      <c r="H898" t="s">
        <v>18</v>
      </c>
      <c r="I898" t="s">
        <v>16</v>
      </c>
      <c r="J898" t="s">
        <v>854</v>
      </c>
      <c r="L898" t="s">
        <v>18</v>
      </c>
      <c r="M898" t="s">
        <v>1932</v>
      </c>
    </row>
    <row r="899" spans="2:13" x14ac:dyDescent="0.25">
      <c r="B899" t="s">
        <v>1888</v>
      </c>
      <c r="C899">
        <v>18369535</v>
      </c>
      <c r="D899" t="str">
        <f>"4660015187828"</f>
        <v>4660015187828</v>
      </c>
      <c r="E899" t="s">
        <v>1933</v>
      </c>
      <c r="F899" t="s">
        <v>1934</v>
      </c>
      <c r="G899">
        <v>1</v>
      </c>
      <c r="H899" t="s">
        <v>18</v>
      </c>
      <c r="I899" t="s">
        <v>16</v>
      </c>
      <c r="J899" t="s">
        <v>1556</v>
      </c>
      <c r="L899" t="s">
        <v>18</v>
      </c>
      <c r="M899" t="s">
        <v>1935</v>
      </c>
    </row>
    <row r="900" spans="2:13" x14ac:dyDescent="0.25">
      <c r="B900" t="s">
        <v>1888</v>
      </c>
      <c r="C900">
        <v>18369543</v>
      </c>
      <c r="D900" t="str">
        <f>"4660015182359"</f>
        <v>4660015182359</v>
      </c>
      <c r="E900" t="s">
        <v>1936</v>
      </c>
      <c r="F900" t="s">
        <v>205</v>
      </c>
      <c r="G900">
        <v>1</v>
      </c>
      <c r="H900" t="s">
        <v>18</v>
      </c>
      <c r="I900" t="s">
        <v>16</v>
      </c>
      <c r="J900" t="s">
        <v>1556</v>
      </c>
      <c r="L900" t="s">
        <v>18</v>
      </c>
      <c r="M900" t="s">
        <v>1937</v>
      </c>
    </row>
    <row r="901" spans="2:13" x14ac:dyDescent="0.25">
      <c r="B901" t="s">
        <v>1888</v>
      </c>
      <c r="C901">
        <v>18369551</v>
      </c>
      <c r="D901" t="str">
        <f>"4660015181918"</f>
        <v>4660015181918</v>
      </c>
      <c r="E901" t="s">
        <v>1938</v>
      </c>
      <c r="F901" t="s">
        <v>525</v>
      </c>
      <c r="G901">
        <v>1</v>
      </c>
      <c r="H901" t="s">
        <v>18</v>
      </c>
      <c r="I901" t="s">
        <v>16</v>
      </c>
      <c r="J901" t="s">
        <v>1556</v>
      </c>
      <c r="L901" t="s">
        <v>18</v>
      </c>
      <c r="M901" t="s">
        <v>1937</v>
      </c>
    </row>
    <row r="902" spans="2:13" x14ac:dyDescent="0.25">
      <c r="B902" t="s">
        <v>1888</v>
      </c>
      <c r="C902">
        <v>18369560</v>
      </c>
      <c r="D902" t="str">
        <f>"4660015187835"</f>
        <v>4660015187835</v>
      </c>
      <c r="E902" t="s">
        <v>1939</v>
      </c>
      <c r="F902" t="s">
        <v>205</v>
      </c>
      <c r="G902">
        <v>1</v>
      </c>
      <c r="H902" t="s">
        <v>18</v>
      </c>
      <c r="I902" t="s">
        <v>16</v>
      </c>
      <c r="J902" t="s">
        <v>1556</v>
      </c>
      <c r="L902" t="s">
        <v>18</v>
      </c>
      <c r="M902" t="s">
        <v>1138</v>
      </c>
    </row>
    <row r="903" spans="2:13" x14ac:dyDescent="0.25">
      <c r="B903" t="s">
        <v>1888</v>
      </c>
      <c r="C903">
        <v>18592833</v>
      </c>
      <c r="D903" t="str">
        <f>"4630031740079"</f>
        <v>4630031740079</v>
      </c>
      <c r="E903" t="s">
        <v>1940</v>
      </c>
      <c r="F903" t="s">
        <v>194</v>
      </c>
      <c r="G903">
        <v>1</v>
      </c>
      <c r="H903" t="s">
        <v>18</v>
      </c>
      <c r="I903" t="s">
        <v>16</v>
      </c>
      <c r="J903" t="s">
        <v>854</v>
      </c>
      <c r="L903" t="s">
        <v>18</v>
      </c>
      <c r="M903" t="s">
        <v>1941</v>
      </c>
    </row>
    <row r="904" spans="2:13" x14ac:dyDescent="0.25">
      <c r="B904" t="s">
        <v>1888</v>
      </c>
      <c r="C904">
        <v>18592841</v>
      </c>
      <c r="D904" t="str">
        <f>"4630031740086"</f>
        <v>4630031740086</v>
      </c>
      <c r="E904" t="s">
        <v>1942</v>
      </c>
      <c r="F904" t="s">
        <v>194</v>
      </c>
      <c r="G904">
        <v>1</v>
      </c>
      <c r="H904" t="s">
        <v>18</v>
      </c>
      <c r="I904" t="s">
        <v>16</v>
      </c>
      <c r="J904" t="s">
        <v>854</v>
      </c>
      <c r="L904" t="s">
        <v>18</v>
      </c>
      <c r="M904" t="s">
        <v>1943</v>
      </c>
    </row>
    <row r="905" spans="2:13" x14ac:dyDescent="0.25">
      <c r="B905" t="s">
        <v>1888</v>
      </c>
      <c r="C905">
        <v>18592850</v>
      </c>
      <c r="D905" t="str">
        <f>"4630031740055"</f>
        <v>4630031740055</v>
      </c>
      <c r="E905" t="s">
        <v>1944</v>
      </c>
      <c r="F905" t="s">
        <v>194</v>
      </c>
      <c r="G905">
        <v>1</v>
      </c>
      <c r="H905" t="s">
        <v>18</v>
      </c>
      <c r="I905" t="s">
        <v>16</v>
      </c>
      <c r="J905" t="s">
        <v>854</v>
      </c>
      <c r="L905" t="s">
        <v>18</v>
      </c>
      <c r="M905" t="s">
        <v>1945</v>
      </c>
    </row>
    <row r="906" spans="2:13" x14ac:dyDescent="0.25">
      <c r="B906" t="s">
        <v>1888</v>
      </c>
      <c r="C906">
        <v>18592868</v>
      </c>
      <c r="D906" t="str">
        <f>"4630031740062"</f>
        <v>4630031740062</v>
      </c>
      <c r="E906" t="s">
        <v>1946</v>
      </c>
      <c r="F906" t="s">
        <v>194</v>
      </c>
      <c r="G906">
        <v>1</v>
      </c>
      <c r="H906" t="s">
        <v>18</v>
      </c>
      <c r="I906" t="s">
        <v>16</v>
      </c>
      <c r="J906" t="s">
        <v>854</v>
      </c>
      <c r="L906" t="s">
        <v>18</v>
      </c>
      <c r="M906" t="s">
        <v>1947</v>
      </c>
    </row>
    <row r="907" spans="2:13" x14ac:dyDescent="0.25">
      <c r="B907" t="s">
        <v>1888</v>
      </c>
      <c r="C907">
        <v>18643864</v>
      </c>
      <c r="D907" t="str">
        <f>"8595593006765"</f>
        <v>8595593006765</v>
      </c>
      <c r="E907" t="s">
        <v>1948</v>
      </c>
      <c r="F907" t="s">
        <v>194</v>
      </c>
      <c r="G907">
        <v>1</v>
      </c>
      <c r="H907" t="s">
        <v>18</v>
      </c>
      <c r="I907" t="s">
        <v>16</v>
      </c>
      <c r="J907" t="s">
        <v>1150</v>
      </c>
      <c r="L907" t="s">
        <v>18</v>
      </c>
      <c r="M907" t="s">
        <v>1722</v>
      </c>
    </row>
    <row r="908" spans="2:13" x14ac:dyDescent="0.25">
      <c r="B908" t="s">
        <v>1949</v>
      </c>
      <c r="C908">
        <v>12567901</v>
      </c>
      <c r="D908" t="str">
        <f>"8695024100106"</f>
        <v>8695024100106</v>
      </c>
      <c r="E908" t="s">
        <v>1950</v>
      </c>
      <c r="F908" t="s">
        <v>240</v>
      </c>
      <c r="G908">
        <v>1</v>
      </c>
      <c r="H908" t="s">
        <v>18</v>
      </c>
      <c r="I908" t="s">
        <v>16</v>
      </c>
      <c r="J908" t="s">
        <v>1544</v>
      </c>
      <c r="L908" t="s">
        <v>18</v>
      </c>
      <c r="M908" t="s">
        <v>1951</v>
      </c>
    </row>
    <row r="909" spans="2:13" x14ac:dyDescent="0.25">
      <c r="B909" t="s">
        <v>1952</v>
      </c>
      <c r="C909">
        <v>14277094</v>
      </c>
      <c r="D909" t="str">
        <f>"4620765858836"</f>
        <v>4620765858836</v>
      </c>
      <c r="E909" t="s">
        <v>1953</v>
      </c>
      <c r="F909" t="s">
        <v>43</v>
      </c>
      <c r="G909">
        <v>1</v>
      </c>
      <c r="H909" t="s">
        <v>18</v>
      </c>
      <c r="I909" t="s">
        <v>16</v>
      </c>
      <c r="J909" t="s">
        <v>854</v>
      </c>
      <c r="L909" t="s">
        <v>18</v>
      </c>
      <c r="M909" t="s">
        <v>1954</v>
      </c>
    </row>
    <row r="910" spans="2:13" x14ac:dyDescent="0.25">
      <c r="B910" t="s">
        <v>1952</v>
      </c>
      <c r="C910">
        <v>14277107</v>
      </c>
      <c r="D910" t="str">
        <f>"4620765858843"</f>
        <v>4620765858843</v>
      </c>
      <c r="E910" t="s">
        <v>1955</v>
      </c>
      <c r="F910" t="s">
        <v>109</v>
      </c>
      <c r="G910">
        <v>1</v>
      </c>
      <c r="H910" t="s">
        <v>18</v>
      </c>
      <c r="I910" t="s">
        <v>16</v>
      </c>
      <c r="J910" t="s">
        <v>854</v>
      </c>
      <c r="L910" t="s">
        <v>18</v>
      </c>
      <c r="M910" t="s">
        <v>1956</v>
      </c>
    </row>
    <row r="911" spans="2:13" x14ac:dyDescent="0.25">
      <c r="B911" t="s">
        <v>1957</v>
      </c>
      <c r="C911">
        <v>12519002</v>
      </c>
      <c r="D911" t="str">
        <f>"4607133585709"</f>
        <v>4607133585709</v>
      </c>
      <c r="E911" t="s">
        <v>1958</v>
      </c>
      <c r="F911" t="s">
        <v>1178</v>
      </c>
      <c r="G911">
        <v>1</v>
      </c>
      <c r="H911" t="s">
        <v>18</v>
      </c>
      <c r="I911" t="s">
        <v>16</v>
      </c>
      <c r="J911" t="s">
        <v>1571</v>
      </c>
      <c r="L911" t="s">
        <v>18</v>
      </c>
      <c r="M911" t="s">
        <v>1959</v>
      </c>
    </row>
    <row r="912" spans="2:13" x14ac:dyDescent="0.25">
      <c r="B912" t="s">
        <v>1957</v>
      </c>
      <c r="C912">
        <v>12519109</v>
      </c>
      <c r="D912" t="str">
        <f>"4607133585716"</f>
        <v>4607133585716</v>
      </c>
      <c r="E912" t="s">
        <v>1958</v>
      </c>
      <c r="F912" t="s">
        <v>1960</v>
      </c>
      <c r="G912">
        <v>1</v>
      </c>
      <c r="H912" t="s">
        <v>18</v>
      </c>
      <c r="I912" t="s">
        <v>16</v>
      </c>
      <c r="J912" t="s">
        <v>1571</v>
      </c>
      <c r="L912" t="s">
        <v>18</v>
      </c>
      <c r="M912" t="s">
        <v>1961</v>
      </c>
    </row>
    <row r="913" spans="2:13" x14ac:dyDescent="0.25">
      <c r="B913" t="s">
        <v>1957</v>
      </c>
      <c r="C913">
        <v>12519141</v>
      </c>
      <c r="D913" t="str">
        <f>"4607133587222"</f>
        <v>4607133587222</v>
      </c>
      <c r="E913" t="s">
        <v>1962</v>
      </c>
      <c r="F913" t="s">
        <v>759</v>
      </c>
      <c r="G913">
        <v>1</v>
      </c>
      <c r="H913" t="s">
        <v>18</v>
      </c>
      <c r="I913" t="s">
        <v>16</v>
      </c>
      <c r="J913" t="s">
        <v>1571</v>
      </c>
      <c r="L913" t="s">
        <v>18</v>
      </c>
      <c r="M913" t="s">
        <v>1963</v>
      </c>
    </row>
    <row r="914" spans="2:13" x14ac:dyDescent="0.25">
      <c r="B914" t="s">
        <v>1957</v>
      </c>
      <c r="C914">
        <v>12567880</v>
      </c>
      <c r="D914" t="str">
        <f>"8692845001001"</f>
        <v>8692845001001</v>
      </c>
      <c r="E914" t="s">
        <v>1964</v>
      </c>
      <c r="F914" t="s">
        <v>1965</v>
      </c>
      <c r="G914">
        <v>1</v>
      </c>
      <c r="H914" t="s">
        <v>18</v>
      </c>
      <c r="I914" t="s">
        <v>16</v>
      </c>
      <c r="J914" t="s">
        <v>1544</v>
      </c>
      <c r="L914" t="s">
        <v>18</v>
      </c>
      <c r="M914" t="s">
        <v>1966</v>
      </c>
    </row>
    <row r="915" spans="2:13" x14ac:dyDescent="0.25">
      <c r="B915" t="s">
        <v>1957</v>
      </c>
      <c r="C915">
        <v>12620303</v>
      </c>
      <c r="D915" t="str">
        <f>"4607133587239"</f>
        <v>4607133587239</v>
      </c>
      <c r="E915" t="s">
        <v>1962</v>
      </c>
      <c r="F915" t="s">
        <v>858</v>
      </c>
      <c r="G915">
        <v>1</v>
      </c>
      <c r="H915" t="s">
        <v>18</v>
      </c>
      <c r="I915" t="s">
        <v>16</v>
      </c>
      <c r="J915" t="s">
        <v>1571</v>
      </c>
      <c r="L915" t="s">
        <v>18</v>
      </c>
      <c r="M915" t="s">
        <v>1967</v>
      </c>
    </row>
    <row r="916" spans="2:13" x14ac:dyDescent="0.25">
      <c r="B916" t="s">
        <v>1957</v>
      </c>
      <c r="C916">
        <v>12702966</v>
      </c>
      <c r="D916" t="str">
        <f>"4607133585723"</f>
        <v>4607133585723</v>
      </c>
      <c r="E916" t="s">
        <v>1968</v>
      </c>
      <c r="F916" t="s">
        <v>240</v>
      </c>
      <c r="G916">
        <v>1</v>
      </c>
      <c r="H916" t="s">
        <v>18</v>
      </c>
      <c r="I916" t="s">
        <v>16</v>
      </c>
      <c r="J916" t="s">
        <v>1571</v>
      </c>
      <c r="L916" t="s">
        <v>18</v>
      </c>
      <c r="M916" t="s">
        <v>1969</v>
      </c>
    </row>
    <row r="917" spans="2:13" x14ac:dyDescent="0.25">
      <c r="B917" t="s">
        <v>1957</v>
      </c>
      <c r="C917">
        <v>12702974</v>
      </c>
      <c r="D917" t="str">
        <f>"4607133585730"</f>
        <v>4607133585730</v>
      </c>
      <c r="E917" t="s">
        <v>1970</v>
      </c>
      <c r="F917" t="s">
        <v>188</v>
      </c>
      <c r="G917">
        <v>1</v>
      </c>
      <c r="H917" t="s">
        <v>18</v>
      </c>
      <c r="I917" t="s">
        <v>16</v>
      </c>
      <c r="J917" t="s">
        <v>1571</v>
      </c>
      <c r="L917" t="s">
        <v>18</v>
      </c>
      <c r="M917" t="s">
        <v>1971</v>
      </c>
    </row>
    <row r="918" spans="2:13" x14ac:dyDescent="0.25">
      <c r="B918" t="s">
        <v>1972</v>
      </c>
      <c r="C918">
        <v>14058991</v>
      </c>
      <c r="D918" t="str">
        <f>"4710694564431"</f>
        <v>4710694564431</v>
      </c>
      <c r="E918" t="s">
        <v>1973</v>
      </c>
      <c r="F918" t="s">
        <v>1974</v>
      </c>
      <c r="G918">
        <v>1</v>
      </c>
      <c r="H918" t="s">
        <v>18</v>
      </c>
      <c r="I918" t="s">
        <v>51</v>
      </c>
      <c r="J918" t="s">
        <v>1553</v>
      </c>
      <c r="L918" t="s">
        <v>18</v>
      </c>
      <c r="M918" t="s">
        <v>1960</v>
      </c>
    </row>
    <row r="919" spans="2:13" x14ac:dyDescent="0.25">
      <c r="B919" t="s">
        <v>1972</v>
      </c>
      <c r="C919">
        <v>15826294</v>
      </c>
      <c r="D919" t="str">
        <f>"4742943011779"</f>
        <v>4742943011779</v>
      </c>
      <c r="E919" t="s">
        <v>1975</v>
      </c>
      <c r="F919" t="s">
        <v>633</v>
      </c>
      <c r="G919">
        <v>1</v>
      </c>
      <c r="H919" t="s">
        <v>18</v>
      </c>
      <c r="I919" t="s">
        <v>16</v>
      </c>
      <c r="J919" t="s">
        <v>1976</v>
      </c>
      <c r="L919" t="s">
        <v>18</v>
      </c>
      <c r="M919" t="s">
        <v>1977</v>
      </c>
    </row>
    <row r="920" spans="2:13" x14ac:dyDescent="0.25">
      <c r="B920" t="s">
        <v>1972</v>
      </c>
      <c r="C920">
        <v>18170489</v>
      </c>
      <c r="D920" t="str">
        <f>"4624715220148"</f>
        <v>4624715220148</v>
      </c>
      <c r="E920" t="s">
        <v>1978</v>
      </c>
      <c r="F920" t="s">
        <v>861</v>
      </c>
      <c r="G920">
        <v>1</v>
      </c>
      <c r="H920" t="s">
        <v>18</v>
      </c>
      <c r="I920" t="s">
        <v>16</v>
      </c>
      <c r="J920" t="s">
        <v>1979</v>
      </c>
      <c r="L920" t="s">
        <v>18</v>
      </c>
      <c r="M920" t="s">
        <v>1980</v>
      </c>
    </row>
    <row r="921" spans="2:13" x14ac:dyDescent="0.25">
      <c r="B921" t="s">
        <v>1972</v>
      </c>
      <c r="C921">
        <v>18170497</v>
      </c>
      <c r="D921" t="str">
        <f>"4624715220131"</f>
        <v>4624715220131</v>
      </c>
      <c r="E921" t="s">
        <v>1981</v>
      </c>
      <c r="F921" t="s">
        <v>525</v>
      </c>
      <c r="G921">
        <v>1</v>
      </c>
      <c r="H921" t="s">
        <v>18</v>
      </c>
      <c r="I921" t="s">
        <v>16</v>
      </c>
      <c r="J921" t="s">
        <v>1979</v>
      </c>
      <c r="L921" t="s">
        <v>18</v>
      </c>
      <c r="M921" t="s">
        <v>1982</v>
      </c>
    </row>
    <row r="922" spans="2:13" x14ac:dyDescent="0.25">
      <c r="B922" t="s">
        <v>1972</v>
      </c>
      <c r="C922">
        <v>18170500</v>
      </c>
      <c r="D922" t="str">
        <f>"4624715220124"</f>
        <v>4624715220124</v>
      </c>
      <c r="E922" t="s">
        <v>1983</v>
      </c>
      <c r="F922" t="s">
        <v>230</v>
      </c>
      <c r="G922">
        <v>1</v>
      </c>
      <c r="H922" t="s">
        <v>18</v>
      </c>
      <c r="I922" t="s">
        <v>16</v>
      </c>
      <c r="J922" t="s">
        <v>1979</v>
      </c>
      <c r="L922" t="s">
        <v>18</v>
      </c>
      <c r="M922" t="s">
        <v>1161</v>
      </c>
    </row>
    <row r="923" spans="2:13" x14ac:dyDescent="0.25">
      <c r="B923" t="s">
        <v>1972</v>
      </c>
      <c r="C923">
        <v>18170518</v>
      </c>
      <c r="D923" t="str">
        <f>"4624715220117"</f>
        <v>4624715220117</v>
      </c>
      <c r="E923" t="s">
        <v>1984</v>
      </c>
      <c r="F923" t="s">
        <v>1985</v>
      </c>
      <c r="G923">
        <v>1</v>
      </c>
      <c r="H923" t="s">
        <v>18</v>
      </c>
      <c r="I923" t="s">
        <v>16</v>
      </c>
      <c r="J923" t="s">
        <v>1979</v>
      </c>
      <c r="L923" t="s">
        <v>18</v>
      </c>
      <c r="M923" t="s">
        <v>1020</v>
      </c>
    </row>
    <row r="924" spans="2:13" x14ac:dyDescent="0.25">
      <c r="B924" t="s">
        <v>1972</v>
      </c>
      <c r="C924">
        <v>18170526</v>
      </c>
      <c r="D924" t="str">
        <f>"4624715220155"</f>
        <v>4624715220155</v>
      </c>
      <c r="E924" t="s">
        <v>1986</v>
      </c>
      <c r="F924" t="s">
        <v>485</v>
      </c>
      <c r="G924">
        <v>1</v>
      </c>
      <c r="H924" t="s">
        <v>18</v>
      </c>
      <c r="I924" t="s">
        <v>16</v>
      </c>
      <c r="J924" t="s">
        <v>1979</v>
      </c>
      <c r="L924" t="s">
        <v>18</v>
      </c>
      <c r="M924" t="s">
        <v>1987</v>
      </c>
    </row>
    <row r="925" spans="2:13" x14ac:dyDescent="0.25">
      <c r="B925" t="s">
        <v>1972</v>
      </c>
      <c r="C925">
        <v>18170534</v>
      </c>
      <c r="D925" t="str">
        <f>"4624715220162"</f>
        <v>4624715220162</v>
      </c>
      <c r="E925" t="s">
        <v>1988</v>
      </c>
      <c r="F925" t="s">
        <v>1960</v>
      </c>
      <c r="G925">
        <v>1</v>
      </c>
      <c r="H925" t="s">
        <v>18</v>
      </c>
      <c r="I925" t="s">
        <v>16</v>
      </c>
      <c r="J925" t="s">
        <v>1979</v>
      </c>
      <c r="L925" t="s">
        <v>18</v>
      </c>
      <c r="M925" t="s">
        <v>1987</v>
      </c>
    </row>
    <row r="926" spans="2:13" x14ac:dyDescent="0.25">
      <c r="B926" t="s">
        <v>1972</v>
      </c>
      <c r="C926">
        <v>18180505</v>
      </c>
      <c r="D926" t="str">
        <f>"4680297137212"</f>
        <v>4680297137212</v>
      </c>
      <c r="E926" t="s">
        <v>1989</v>
      </c>
      <c r="F926" t="s">
        <v>21</v>
      </c>
      <c r="G926">
        <v>1</v>
      </c>
      <c r="H926" t="s">
        <v>18</v>
      </c>
      <c r="I926" t="s">
        <v>16</v>
      </c>
      <c r="J926" t="s">
        <v>1990</v>
      </c>
      <c r="L926" t="s">
        <v>18</v>
      </c>
      <c r="M926" t="s">
        <v>1906</v>
      </c>
    </row>
    <row r="927" spans="2:13" x14ac:dyDescent="0.25">
      <c r="B927" t="s">
        <v>1972</v>
      </c>
      <c r="C927">
        <v>18180513</v>
      </c>
      <c r="D927" t="str">
        <f>"4680297137229"</f>
        <v>4680297137229</v>
      </c>
      <c r="E927" t="s">
        <v>1991</v>
      </c>
      <c r="F927" t="s">
        <v>268</v>
      </c>
      <c r="G927">
        <v>1</v>
      </c>
      <c r="H927" t="s">
        <v>18</v>
      </c>
      <c r="I927" t="s">
        <v>16</v>
      </c>
      <c r="J927" t="s">
        <v>1990</v>
      </c>
      <c r="L927" t="s">
        <v>18</v>
      </c>
      <c r="M927" t="s">
        <v>1906</v>
      </c>
    </row>
    <row r="928" spans="2:13" x14ac:dyDescent="0.25">
      <c r="B928" t="s">
        <v>1972</v>
      </c>
      <c r="C928">
        <v>18180521</v>
      </c>
      <c r="D928" t="str">
        <f>"4680297137236"</f>
        <v>4680297137236</v>
      </c>
      <c r="E928" t="s">
        <v>1992</v>
      </c>
      <c r="F928" t="s">
        <v>194</v>
      </c>
      <c r="G928">
        <v>1</v>
      </c>
      <c r="H928" t="s">
        <v>18</v>
      </c>
      <c r="I928" t="s">
        <v>16</v>
      </c>
      <c r="J928" t="s">
        <v>1990</v>
      </c>
      <c r="L928" t="s">
        <v>18</v>
      </c>
      <c r="M928" t="s">
        <v>1906</v>
      </c>
    </row>
    <row r="929" spans="2:13" x14ac:dyDescent="0.25">
      <c r="B929" t="s">
        <v>1972</v>
      </c>
      <c r="C929">
        <v>18180530</v>
      </c>
      <c r="D929" t="str">
        <f>"4680297137243"</f>
        <v>4680297137243</v>
      </c>
      <c r="E929" t="s">
        <v>1993</v>
      </c>
      <c r="F929" t="s">
        <v>227</v>
      </c>
      <c r="G929">
        <v>1</v>
      </c>
      <c r="H929" t="s">
        <v>18</v>
      </c>
      <c r="I929" t="s">
        <v>16</v>
      </c>
      <c r="J929" t="s">
        <v>1990</v>
      </c>
      <c r="L929" t="s">
        <v>18</v>
      </c>
      <c r="M929" t="s">
        <v>1906</v>
      </c>
    </row>
    <row r="930" spans="2:13" x14ac:dyDescent="0.25">
      <c r="B930" t="s">
        <v>1972</v>
      </c>
      <c r="C930">
        <v>18180548</v>
      </c>
      <c r="D930" t="str">
        <f>"4680297137250"</f>
        <v>4680297137250</v>
      </c>
      <c r="E930" t="s">
        <v>1994</v>
      </c>
      <c r="F930" t="s">
        <v>40</v>
      </c>
      <c r="G930">
        <v>1</v>
      </c>
      <c r="H930" t="s">
        <v>18</v>
      </c>
      <c r="I930" t="s">
        <v>16</v>
      </c>
      <c r="J930" t="s">
        <v>1990</v>
      </c>
      <c r="L930" t="s">
        <v>18</v>
      </c>
      <c r="M930" t="s">
        <v>1995</v>
      </c>
    </row>
    <row r="931" spans="2:13" x14ac:dyDescent="0.25">
      <c r="B931" t="s">
        <v>1972</v>
      </c>
      <c r="C931">
        <v>18193859</v>
      </c>
      <c r="D931" t="str">
        <f>"4680018340174"</f>
        <v>4680018340174</v>
      </c>
      <c r="E931" t="s">
        <v>1996</v>
      </c>
      <c r="F931" t="s">
        <v>1997</v>
      </c>
      <c r="G931">
        <v>1</v>
      </c>
      <c r="H931" t="s">
        <v>18</v>
      </c>
      <c r="I931" t="s">
        <v>16</v>
      </c>
      <c r="J931" t="s">
        <v>1682</v>
      </c>
      <c r="L931" t="s">
        <v>18</v>
      </c>
      <c r="M931" t="s">
        <v>1998</v>
      </c>
    </row>
    <row r="932" spans="2:13" x14ac:dyDescent="0.25">
      <c r="B932" t="s">
        <v>1972</v>
      </c>
      <c r="C932">
        <v>18195803</v>
      </c>
      <c r="D932" t="str">
        <f>"4710694584392"</f>
        <v>4710694584392</v>
      </c>
      <c r="E932" t="s">
        <v>1999</v>
      </c>
      <c r="F932" t="s">
        <v>1488</v>
      </c>
      <c r="G932">
        <v>1</v>
      </c>
      <c r="H932" t="s">
        <v>18</v>
      </c>
      <c r="I932" t="s">
        <v>16</v>
      </c>
      <c r="J932" t="s">
        <v>1553</v>
      </c>
      <c r="L932" t="s">
        <v>18</v>
      </c>
      <c r="M932" t="s">
        <v>2000</v>
      </c>
    </row>
    <row r="933" spans="2:13" x14ac:dyDescent="0.25">
      <c r="B933" t="s">
        <v>1972</v>
      </c>
      <c r="C933">
        <v>18195811</v>
      </c>
      <c r="D933" t="str">
        <f>"4710694598849"</f>
        <v>4710694598849</v>
      </c>
      <c r="E933" t="s">
        <v>2001</v>
      </c>
      <c r="F933" t="s">
        <v>2002</v>
      </c>
      <c r="G933">
        <v>1</v>
      </c>
      <c r="H933" t="s">
        <v>18</v>
      </c>
      <c r="I933" t="s">
        <v>16</v>
      </c>
      <c r="J933" t="s">
        <v>1553</v>
      </c>
      <c r="L933" t="s">
        <v>18</v>
      </c>
      <c r="M933" t="s">
        <v>1379</v>
      </c>
    </row>
    <row r="934" spans="2:13" x14ac:dyDescent="0.25">
      <c r="B934" t="s">
        <v>1972</v>
      </c>
      <c r="C934">
        <v>18195862</v>
      </c>
      <c r="D934" t="str">
        <f>"4710694608296"</f>
        <v>4710694608296</v>
      </c>
      <c r="E934" t="s">
        <v>2003</v>
      </c>
      <c r="F934" t="s">
        <v>1422</v>
      </c>
      <c r="G934">
        <v>1</v>
      </c>
      <c r="H934" t="s">
        <v>18</v>
      </c>
      <c r="I934" t="s">
        <v>16</v>
      </c>
      <c r="J934" t="s">
        <v>1553</v>
      </c>
      <c r="L934" t="s">
        <v>18</v>
      </c>
      <c r="M934" t="s">
        <v>753</v>
      </c>
    </row>
    <row r="935" spans="2:13" x14ac:dyDescent="0.25">
      <c r="B935" t="s">
        <v>1972</v>
      </c>
      <c r="C935">
        <v>18308476</v>
      </c>
      <c r="D935" t="str">
        <f>"4630021680194"</f>
        <v>4630021680194</v>
      </c>
      <c r="E935" t="s">
        <v>2004</v>
      </c>
      <c r="F935" t="s">
        <v>1977</v>
      </c>
      <c r="G935">
        <v>1</v>
      </c>
      <c r="H935" t="s">
        <v>18</v>
      </c>
      <c r="I935" t="s">
        <v>16</v>
      </c>
      <c r="J935" t="s">
        <v>1525</v>
      </c>
      <c r="L935" t="s">
        <v>18</v>
      </c>
      <c r="M935" t="s">
        <v>1524</v>
      </c>
    </row>
    <row r="936" spans="2:13" x14ac:dyDescent="0.25">
      <c r="B936" t="s">
        <v>1972</v>
      </c>
      <c r="C936">
        <v>18308484</v>
      </c>
      <c r="D936" t="str">
        <f>"4630021680200"</f>
        <v>4630021680200</v>
      </c>
      <c r="E936" t="s">
        <v>2005</v>
      </c>
      <c r="F936" t="s">
        <v>1731</v>
      </c>
      <c r="G936">
        <v>1</v>
      </c>
      <c r="H936" t="s">
        <v>18</v>
      </c>
      <c r="I936" t="s">
        <v>16</v>
      </c>
      <c r="J936" t="s">
        <v>1525</v>
      </c>
      <c r="L936" t="s">
        <v>18</v>
      </c>
      <c r="M936" t="s">
        <v>2006</v>
      </c>
    </row>
    <row r="937" spans="2:13" x14ac:dyDescent="0.25">
      <c r="B937" t="s">
        <v>1972</v>
      </c>
      <c r="C937">
        <v>18308492</v>
      </c>
      <c r="D937" t="str">
        <f>"4630021680217"</f>
        <v>4630021680217</v>
      </c>
      <c r="E937" t="s">
        <v>2007</v>
      </c>
      <c r="F937" t="s">
        <v>889</v>
      </c>
      <c r="G937">
        <v>1</v>
      </c>
      <c r="H937" t="s">
        <v>18</v>
      </c>
      <c r="I937" t="s">
        <v>16</v>
      </c>
      <c r="J937" t="s">
        <v>1525</v>
      </c>
      <c r="L937" t="s">
        <v>18</v>
      </c>
      <c r="M937" t="s">
        <v>639</v>
      </c>
    </row>
    <row r="938" spans="2:13" x14ac:dyDescent="0.25">
      <c r="B938" t="s">
        <v>1972</v>
      </c>
      <c r="C938">
        <v>18308505</v>
      </c>
      <c r="D938" t="str">
        <f>"4630021680224"</f>
        <v>4630021680224</v>
      </c>
      <c r="E938" t="s">
        <v>2008</v>
      </c>
      <c r="F938" t="s">
        <v>1239</v>
      </c>
      <c r="G938">
        <v>1</v>
      </c>
      <c r="H938" t="s">
        <v>18</v>
      </c>
      <c r="I938" t="s">
        <v>16</v>
      </c>
      <c r="J938" t="s">
        <v>1525</v>
      </c>
      <c r="L938" t="s">
        <v>18</v>
      </c>
      <c r="M938" t="s">
        <v>2009</v>
      </c>
    </row>
    <row r="939" spans="2:13" x14ac:dyDescent="0.25">
      <c r="B939" t="s">
        <v>1972</v>
      </c>
      <c r="C939">
        <v>18508486</v>
      </c>
      <c r="D939" t="str">
        <f>"4624715220179"</f>
        <v>4624715220179</v>
      </c>
      <c r="E939" t="s">
        <v>2010</v>
      </c>
      <c r="F939" t="s">
        <v>442</v>
      </c>
      <c r="G939">
        <v>1</v>
      </c>
      <c r="H939" t="s">
        <v>18</v>
      </c>
      <c r="I939" t="s">
        <v>16</v>
      </c>
      <c r="J939" t="s">
        <v>1979</v>
      </c>
      <c r="L939" t="s">
        <v>18</v>
      </c>
      <c r="M939" t="s">
        <v>2011</v>
      </c>
    </row>
    <row r="940" spans="2:13" x14ac:dyDescent="0.25">
      <c r="B940" t="s">
        <v>1972</v>
      </c>
      <c r="C940">
        <v>18531168</v>
      </c>
      <c r="D940" t="str">
        <f>"4250470800594"</f>
        <v>4250470800594</v>
      </c>
      <c r="E940" t="s">
        <v>2012</v>
      </c>
      <c r="F940" t="s">
        <v>823</v>
      </c>
      <c r="G940">
        <v>0</v>
      </c>
      <c r="H940" t="s">
        <v>18</v>
      </c>
      <c r="I940" t="s">
        <v>680</v>
      </c>
      <c r="J940" t="s">
        <v>1976</v>
      </c>
      <c r="L940" t="s">
        <v>18</v>
      </c>
      <c r="M940" t="s">
        <v>2013</v>
      </c>
    </row>
    <row r="941" spans="2:13" x14ac:dyDescent="0.25">
      <c r="B941" t="s">
        <v>2014</v>
      </c>
      <c r="C941">
        <v>14866518</v>
      </c>
      <c r="D941" t="str">
        <f>"4742943011625"</f>
        <v>4742943011625</v>
      </c>
      <c r="E941" t="s">
        <v>2015</v>
      </c>
      <c r="F941" t="s">
        <v>1422</v>
      </c>
      <c r="G941">
        <v>1</v>
      </c>
      <c r="H941" t="s">
        <v>18</v>
      </c>
      <c r="I941" t="s">
        <v>16</v>
      </c>
      <c r="J941" t="s">
        <v>1976</v>
      </c>
      <c r="L941" t="s">
        <v>18</v>
      </c>
      <c r="M941" t="s">
        <v>2016</v>
      </c>
    </row>
    <row r="942" spans="2:13" x14ac:dyDescent="0.25">
      <c r="B942" t="s">
        <v>2014</v>
      </c>
      <c r="C942">
        <v>15308323</v>
      </c>
      <c r="D942" t="str">
        <f>"3276005094550"</f>
        <v>3276005094550</v>
      </c>
      <c r="E942" t="s">
        <v>2017</v>
      </c>
      <c r="F942" t="s">
        <v>389</v>
      </c>
      <c r="G942">
        <v>1</v>
      </c>
      <c r="H942" t="s">
        <v>18</v>
      </c>
      <c r="I942" t="s">
        <v>16</v>
      </c>
      <c r="J942" t="s">
        <v>28</v>
      </c>
      <c r="L942" t="s">
        <v>18</v>
      </c>
      <c r="M942" t="s">
        <v>2018</v>
      </c>
    </row>
    <row r="943" spans="2:13" x14ac:dyDescent="0.25">
      <c r="B943" t="s">
        <v>2014</v>
      </c>
      <c r="C943">
        <v>15308331</v>
      </c>
      <c r="D943" t="str">
        <f>"3276005094512"</f>
        <v>3276005094512</v>
      </c>
      <c r="E943" t="s">
        <v>2019</v>
      </c>
      <c r="F943" t="s">
        <v>485</v>
      </c>
      <c r="G943">
        <v>1</v>
      </c>
      <c r="H943" t="s">
        <v>18</v>
      </c>
      <c r="I943" t="s">
        <v>16</v>
      </c>
      <c r="J943" t="s">
        <v>17</v>
      </c>
      <c r="L943" t="s">
        <v>18</v>
      </c>
      <c r="M943" t="s">
        <v>1846</v>
      </c>
    </row>
    <row r="944" spans="2:13" x14ac:dyDescent="0.25">
      <c r="B944" t="s">
        <v>2014</v>
      </c>
      <c r="C944">
        <v>15308340</v>
      </c>
      <c r="D944" t="str">
        <f>"3276005088054"</f>
        <v>3276005088054</v>
      </c>
      <c r="E944" t="s">
        <v>2020</v>
      </c>
      <c r="F944" t="s">
        <v>24</v>
      </c>
      <c r="G944">
        <v>1</v>
      </c>
      <c r="H944" t="s">
        <v>18</v>
      </c>
      <c r="I944" t="s">
        <v>16</v>
      </c>
      <c r="J944" t="s">
        <v>17</v>
      </c>
      <c r="L944" t="s">
        <v>18</v>
      </c>
      <c r="M944" t="s">
        <v>1980</v>
      </c>
    </row>
    <row r="945" spans="2:13" x14ac:dyDescent="0.25">
      <c r="B945" t="s">
        <v>2014</v>
      </c>
      <c r="C945">
        <v>15308358</v>
      </c>
      <c r="D945" t="str">
        <f>"3276005094475"</f>
        <v>3276005094475</v>
      </c>
      <c r="E945" t="s">
        <v>2021</v>
      </c>
      <c r="F945" t="s">
        <v>227</v>
      </c>
      <c r="G945">
        <v>1</v>
      </c>
      <c r="H945" t="s">
        <v>18</v>
      </c>
      <c r="I945" t="s">
        <v>16</v>
      </c>
      <c r="J945" t="s">
        <v>17</v>
      </c>
      <c r="L945" t="s">
        <v>18</v>
      </c>
      <c r="M945" t="s">
        <v>2009</v>
      </c>
    </row>
    <row r="946" spans="2:13" x14ac:dyDescent="0.25">
      <c r="B946" t="s">
        <v>2014</v>
      </c>
      <c r="C946">
        <v>15308366</v>
      </c>
      <c r="D946" t="str">
        <f>"3276005094437"</f>
        <v>3276005094437</v>
      </c>
      <c r="E946" t="s">
        <v>2022</v>
      </c>
      <c r="F946" t="s">
        <v>205</v>
      </c>
      <c r="G946">
        <v>1</v>
      </c>
      <c r="H946" t="s">
        <v>18</v>
      </c>
      <c r="I946" t="s">
        <v>16</v>
      </c>
      <c r="J946" t="s">
        <v>17</v>
      </c>
      <c r="L946" t="s">
        <v>18</v>
      </c>
      <c r="M946" t="s">
        <v>1846</v>
      </c>
    </row>
    <row r="947" spans="2:13" x14ac:dyDescent="0.25">
      <c r="B947" t="s">
        <v>2014</v>
      </c>
      <c r="C947">
        <v>15308374</v>
      </c>
      <c r="D947" t="str">
        <f>"3276005094390"</f>
        <v>3276005094390</v>
      </c>
      <c r="E947" t="s">
        <v>2023</v>
      </c>
      <c r="F947" t="s">
        <v>24</v>
      </c>
      <c r="G947">
        <v>0</v>
      </c>
      <c r="H947" t="s">
        <v>18</v>
      </c>
      <c r="I947" t="s">
        <v>16</v>
      </c>
      <c r="J947" t="s">
        <v>17</v>
      </c>
      <c r="L947" t="s">
        <v>18</v>
      </c>
      <c r="M947" t="s">
        <v>2024</v>
      </c>
    </row>
    <row r="948" spans="2:13" x14ac:dyDescent="0.25">
      <c r="B948" t="s">
        <v>2014</v>
      </c>
      <c r="C948">
        <v>15308382</v>
      </c>
      <c r="D948" t="str">
        <f>"3276005094352"</f>
        <v>3276005094352</v>
      </c>
      <c r="E948" t="s">
        <v>2025</v>
      </c>
      <c r="F948" t="s">
        <v>227</v>
      </c>
      <c r="G948">
        <v>1</v>
      </c>
      <c r="H948" t="s">
        <v>18</v>
      </c>
      <c r="I948" t="s">
        <v>16</v>
      </c>
      <c r="J948" t="s">
        <v>17</v>
      </c>
      <c r="L948" t="s">
        <v>18</v>
      </c>
      <c r="M948" t="s">
        <v>2026</v>
      </c>
    </row>
    <row r="949" spans="2:13" x14ac:dyDescent="0.25">
      <c r="B949" t="s">
        <v>2014</v>
      </c>
      <c r="C949">
        <v>15308391</v>
      </c>
      <c r="D949" t="str">
        <f>"3276005094314"</f>
        <v>3276005094314</v>
      </c>
      <c r="E949" t="s">
        <v>2027</v>
      </c>
      <c r="F949" t="s">
        <v>791</v>
      </c>
      <c r="G949">
        <v>1</v>
      </c>
      <c r="H949" t="s">
        <v>18</v>
      </c>
      <c r="I949" t="s">
        <v>16</v>
      </c>
      <c r="J949" t="s">
        <v>17</v>
      </c>
      <c r="L949" t="s">
        <v>18</v>
      </c>
      <c r="M949" t="s">
        <v>1503</v>
      </c>
    </row>
    <row r="950" spans="2:13" x14ac:dyDescent="0.25">
      <c r="B950" t="s">
        <v>2014</v>
      </c>
      <c r="C950">
        <v>15308403</v>
      </c>
      <c r="D950" t="str">
        <f>"3276005094277"</f>
        <v>3276005094277</v>
      </c>
      <c r="E950" t="s">
        <v>2028</v>
      </c>
      <c r="F950" t="s">
        <v>425</v>
      </c>
      <c r="G950">
        <v>1</v>
      </c>
      <c r="H950" t="s">
        <v>18</v>
      </c>
      <c r="I950" t="s">
        <v>16</v>
      </c>
      <c r="J950" t="s">
        <v>17</v>
      </c>
      <c r="L950" t="s">
        <v>18</v>
      </c>
      <c r="M950" t="s">
        <v>781</v>
      </c>
    </row>
    <row r="951" spans="2:13" x14ac:dyDescent="0.25">
      <c r="B951" t="s">
        <v>2014</v>
      </c>
      <c r="C951">
        <v>15308411</v>
      </c>
      <c r="D951" t="str">
        <f>"3276005088016"</f>
        <v>3276005088016</v>
      </c>
      <c r="E951" t="s">
        <v>2029</v>
      </c>
      <c r="F951" t="s">
        <v>522</v>
      </c>
      <c r="G951">
        <v>1</v>
      </c>
      <c r="H951" t="s">
        <v>18</v>
      </c>
      <c r="I951" t="s">
        <v>16</v>
      </c>
      <c r="J951" t="s">
        <v>17</v>
      </c>
      <c r="L951" t="s">
        <v>18</v>
      </c>
      <c r="M951" t="s">
        <v>2030</v>
      </c>
    </row>
    <row r="952" spans="2:13" x14ac:dyDescent="0.25">
      <c r="B952" t="s">
        <v>2014</v>
      </c>
      <c r="C952">
        <v>15308420</v>
      </c>
      <c r="D952" t="str">
        <f>"3276005087972"</f>
        <v>3276005087972</v>
      </c>
      <c r="E952" t="s">
        <v>2031</v>
      </c>
      <c r="F952" t="s">
        <v>328</v>
      </c>
      <c r="G952">
        <v>1</v>
      </c>
      <c r="H952" t="s">
        <v>18</v>
      </c>
      <c r="I952" t="s">
        <v>16</v>
      </c>
      <c r="J952" t="s">
        <v>17</v>
      </c>
      <c r="L952" t="s">
        <v>18</v>
      </c>
      <c r="M952" t="s">
        <v>2032</v>
      </c>
    </row>
    <row r="953" spans="2:13" x14ac:dyDescent="0.25">
      <c r="B953" t="s">
        <v>2014</v>
      </c>
      <c r="C953">
        <v>15308438</v>
      </c>
      <c r="D953" t="str">
        <f>"3276005087613"</f>
        <v>3276005087613</v>
      </c>
      <c r="E953" t="s">
        <v>2033</v>
      </c>
      <c r="F953" t="s">
        <v>1317</v>
      </c>
      <c r="G953">
        <v>1</v>
      </c>
      <c r="H953" t="s">
        <v>18</v>
      </c>
      <c r="I953" t="s">
        <v>16</v>
      </c>
      <c r="J953" t="s">
        <v>17</v>
      </c>
      <c r="L953" t="s">
        <v>18</v>
      </c>
      <c r="M953" t="s">
        <v>2034</v>
      </c>
    </row>
    <row r="954" spans="2:13" x14ac:dyDescent="0.25">
      <c r="B954" t="s">
        <v>2014</v>
      </c>
      <c r="C954">
        <v>15308446</v>
      </c>
      <c r="D954" t="str">
        <f>"3276005087538"</f>
        <v>3276005087538</v>
      </c>
      <c r="E954" t="s">
        <v>2035</v>
      </c>
      <c r="F954" t="s">
        <v>205</v>
      </c>
      <c r="G954">
        <v>1</v>
      </c>
      <c r="H954" t="s">
        <v>18</v>
      </c>
      <c r="I954" t="s">
        <v>16</v>
      </c>
      <c r="J954" t="s">
        <v>17</v>
      </c>
      <c r="L954" t="s">
        <v>18</v>
      </c>
      <c r="M954" t="s">
        <v>2036</v>
      </c>
    </row>
    <row r="955" spans="2:13" x14ac:dyDescent="0.25">
      <c r="B955" t="s">
        <v>2014</v>
      </c>
      <c r="C955">
        <v>15308454</v>
      </c>
      <c r="D955" t="str">
        <f>"3276005087453"</f>
        <v>3276005087453</v>
      </c>
      <c r="E955" t="s">
        <v>2020</v>
      </c>
      <c r="F955" t="s">
        <v>27</v>
      </c>
      <c r="G955">
        <v>1</v>
      </c>
      <c r="H955" t="s">
        <v>18</v>
      </c>
      <c r="I955" t="s">
        <v>16</v>
      </c>
      <c r="J955" t="s">
        <v>17</v>
      </c>
      <c r="L955" t="s">
        <v>18</v>
      </c>
      <c r="M955" t="s">
        <v>1980</v>
      </c>
    </row>
    <row r="956" spans="2:13" x14ac:dyDescent="0.25">
      <c r="B956" t="s">
        <v>2014</v>
      </c>
      <c r="C956">
        <v>15308462</v>
      </c>
      <c r="D956" t="str">
        <f>"3276005087415"</f>
        <v>3276005087415</v>
      </c>
      <c r="E956" t="s">
        <v>2029</v>
      </c>
      <c r="F956" t="s">
        <v>413</v>
      </c>
      <c r="G956">
        <v>1</v>
      </c>
      <c r="H956" t="s">
        <v>18</v>
      </c>
      <c r="I956" t="s">
        <v>16</v>
      </c>
      <c r="J956" t="s">
        <v>17</v>
      </c>
      <c r="L956" t="s">
        <v>18</v>
      </c>
      <c r="M956" t="s">
        <v>843</v>
      </c>
    </row>
    <row r="957" spans="2:13" x14ac:dyDescent="0.25">
      <c r="B957" t="s">
        <v>2014</v>
      </c>
      <c r="C957">
        <v>15308471</v>
      </c>
      <c r="D957" t="str">
        <f>"3276005087330"</f>
        <v>3276005087330</v>
      </c>
      <c r="E957" t="s">
        <v>2037</v>
      </c>
      <c r="F957" t="s">
        <v>185</v>
      </c>
      <c r="G957">
        <v>1</v>
      </c>
      <c r="H957" t="s">
        <v>18</v>
      </c>
      <c r="I957" t="s">
        <v>16</v>
      </c>
      <c r="J957" t="s">
        <v>17</v>
      </c>
      <c r="L957" t="s">
        <v>18</v>
      </c>
      <c r="M957" t="s">
        <v>2038</v>
      </c>
    </row>
    <row r="958" spans="2:13" x14ac:dyDescent="0.25">
      <c r="B958" t="s">
        <v>2014</v>
      </c>
      <c r="C958">
        <v>15308489</v>
      </c>
      <c r="D958" t="str">
        <f>"3276005087293"</f>
        <v>3276005087293</v>
      </c>
      <c r="E958" t="s">
        <v>2039</v>
      </c>
      <c r="F958" t="s">
        <v>389</v>
      </c>
      <c r="G958">
        <v>1</v>
      </c>
      <c r="H958" t="s">
        <v>18</v>
      </c>
      <c r="I958" t="s">
        <v>16</v>
      </c>
      <c r="J958" t="s">
        <v>17</v>
      </c>
      <c r="L958" t="s">
        <v>18</v>
      </c>
      <c r="M958" t="s">
        <v>2040</v>
      </c>
    </row>
    <row r="959" spans="2:13" x14ac:dyDescent="0.25">
      <c r="B959" t="s">
        <v>2014</v>
      </c>
      <c r="C959">
        <v>15308497</v>
      </c>
      <c r="D959" t="str">
        <f>"3276005087255"</f>
        <v>3276005087255</v>
      </c>
      <c r="E959" t="s">
        <v>2041</v>
      </c>
      <c r="F959" t="s">
        <v>109</v>
      </c>
      <c r="G959">
        <v>1</v>
      </c>
      <c r="H959" t="s">
        <v>18</v>
      </c>
      <c r="I959" t="s">
        <v>16</v>
      </c>
      <c r="J959" t="s">
        <v>17</v>
      </c>
      <c r="L959" t="s">
        <v>18</v>
      </c>
      <c r="M959" t="s">
        <v>2042</v>
      </c>
    </row>
    <row r="960" spans="2:13" x14ac:dyDescent="0.25">
      <c r="B960" t="s">
        <v>2014</v>
      </c>
      <c r="C960">
        <v>15308500</v>
      </c>
      <c r="D960" t="str">
        <f>"3276005087217"</f>
        <v>3276005087217</v>
      </c>
      <c r="E960" t="s">
        <v>2031</v>
      </c>
      <c r="F960" t="s">
        <v>191</v>
      </c>
      <c r="G960">
        <v>1</v>
      </c>
      <c r="H960" t="s">
        <v>18</v>
      </c>
      <c r="I960" t="s">
        <v>16</v>
      </c>
      <c r="J960" t="s">
        <v>17</v>
      </c>
      <c r="L960" t="s">
        <v>18</v>
      </c>
      <c r="M960" t="s">
        <v>2043</v>
      </c>
    </row>
    <row r="961" spans="2:13" x14ac:dyDescent="0.25">
      <c r="B961" t="s">
        <v>2014</v>
      </c>
      <c r="C961">
        <v>15308518</v>
      </c>
      <c r="D961" t="str">
        <f>"3276005087132"</f>
        <v>3276005087132</v>
      </c>
      <c r="E961" t="s">
        <v>2044</v>
      </c>
      <c r="F961" t="s">
        <v>410</v>
      </c>
      <c r="G961">
        <v>1</v>
      </c>
      <c r="H961" t="s">
        <v>18</v>
      </c>
      <c r="I961" t="s">
        <v>16</v>
      </c>
      <c r="J961" t="s">
        <v>17</v>
      </c>
      <c r="L961" t="s">
        <v>18</v>
      </c>
      <c r="M961" t="s">
        <v>2045</v>
      </c>
    </row>
    <row r="962" spans="2:13" x14ac:dyDescent="0.25">
      <c r="B962" t="s">
        <v>2014</v>
      </c>
      <c r="C962">
        <v>15308526</v>
      </c>
      <c r="D962" t="str">
        <f>"3276005087095"</f>
        <v>3276005087095</v>
      </c>
      <c r="E962" t="s">
        <v>2046</v>
      </c>
      <c r="F962" t="s">
        <v>285</v>
      </c>
      <c r="G962">
        <v>1</v>
      </c>
      <c r="H962" t="s">
        <v>18</v>
      </c>
      <c r="I962" t="s">
        <v>16</v>
      </c>
      <c r="J962" t="s">
        <v>17</v>
      </c>
      <c r="L962" t="s">
        <v>18</v>
      </c>
      <c r="M962" t="s">
        <v>1735</v>
      </c>
    </row>
    <row r="963" spans="2:13" x14ac:dyDescent="0.25">
      <c r="B963" t="s">
        <v>2014</v>
      </c>
      <c r="C963">
        <v>15351381</v>
      </c>
      <c r="D963" t="str">
        <f>"8595593005126"</f>
        <v>8595593005126</v>
      </c>
      <c r="E963" t="s">
        <v>2047</v>
      </c>
      <c r="F963" t="s">
        <v>389</v>
      </c>
      <c r="G963">
        <v>1</v>
      </c>
      <c r="H963" t="s">
        <v>18</v>
      </c>
      <c r="I963" t="s">
        <v>16</v>
      </c>
      <c r="J963" t="s">
        <v>1150</v>
      </c>
      <c r="L963" t="s">
        <v>18</v>
      </c>
      <c r="M963" t="s">
        <v>2048</v>
      </c>
    </row>
    <row r="964" spans="2:13" x14ac:dyDescent="0.25">
      <c r="B964" t="s">
        <v>2014</v>
      </c>
      <c r="C964">
        <v>15351399</v>
      </c>
      <c r="D964" t="str">
        <f>"8595593005133"</f>
        <v>8595593005133</v>
      </c>
      <c r="E964" t="s">
        <v>2049</v>
      </c>
      <c r="F964" t="s">
        <v>14</v>
      </c>
      <c r="G964">
        <v>0</v>
      </c>
      <c r="H964" t="s">
        <v>18</v>
      </c>
      <c r="I964" t="s">
        <v>754</v>
      </c>
      <c r="J964" t="s">
        <v>1150</v>
      </c>
      <c r="K964" s="1">
        <v>42840</v>
      </c>
      <c r="L964" t="s">
        <v>18</v>
      </c>
      <c r="M964" t="s">
        <v>2050</v>
      </c>
    </row>
    <row r="965" spans="2:13" x14ac:dyDescent="0.25">
      <c r="B965" t="s">
        <v>2014</v>
      </c>
      <c r="C965">
        <v>15351410</v>
      </c>
      <c r="D965" t="str">
        <f>"8595593005157"</f>
        <v>8595593005157</v>
      </c>
      <c r="E965" t="s">
        <v>2051</v>
      </c>
      <c r="F965" t="s">
        <v>525</v>
      </c>
      <c r="G965">
        <v>1</v>
      </c>
      <c r="H965" t="s">
        <v>18</v>
      </c>
      <c r="I965" t="s">
        <v>16</v>
      </c>
      <c r="J965" t="s">
        <v>1150</v>
      </c>
      <c r="L965" t="s">
        <v>18</v>
      </c>
      <c r="M965" t="s">
        <v>2052</v>
      </c>
    </row>
    <row r="966" spans="2:13" x14ac:dyDescent="0.25">
      <c r="B966" t="s">
        <v>2014</v>
      </c>
      <c r="C966">
        <v>15351428</v>
      </c>
      <c r="D966" t="str">
        <f>"8595593005164"</f>
        <v>8595593005164</v>
      </c>
      <c r="E966" t="s">
        <v>2053</v>
      </c>
      <c r="F966" t="s">
        <v>165</v>
      </c>
      <c r="G966">
        <v>1</v>
      </c>
      <c r="H966" t="s">
        <v>18</v>
      </c>
      <c r="I966" t="s">
        <v>16</v>
      </c>
      <c r="J966" t="s">
        <v>1150</v>
      </c>
      <c r="L966" t="s">
        <v>18</v>
      </c>
      <c r="M966" t="s">
        <v>2054</v>
      </c>
    </row>
    <row r="967" spans="2:13" x14ac:dyDescent="0.25">
      <c r="B967" t="s">
        <v>2014</v>
      </c>
      <c r="C967">
        <v>15351436</v>
      </c>
      <c r="D967" t="str">
        <f>"8595593005171"</f>
        <v>8595593005171</v>
      </c>
      <c r="E967" t="s">
        <v>2055</v>
      </c>
      <c r="F967" t="s">
        <v>48</v>
      </c>
      <c r="G967">
        <v>0</v>
      </c>
      <c r="H967" t="s">
        <v>18</v>
      </c>
      <c r="I967" t="s">
        <v>754</v>
      </c>
      <c r="J967" t="s">
        <v>1150</v>
      </c>
      <c r="K967" s="1">
        <v>42840</v>
      </c>
      <c r="L967" t="s">
        <v>18</v>
      </c>
      <c r="M967" t="s">
        <v>2056</v>
      </c>
    </row>
    <row r="968" spans="2:13" x14ac:dyDescent="0.25">
      <c r="B968" t="s">
        <v>2014</v>
      </c>
      <c r="C968">
        <v>15351444</v>
      </c>
      <c r="D968" t="str">
        <f>"8595593005188"</f>
        <v>8595593005188</v>
      </c>
      <c r="E968" t="s">
        <v>2057</v>
      </c>
      <c r="F968" t="s">
        <v>379</v>
      </c>
      <c r="G968">
        <v>1</v>
      </c>
      <c r="H968" t="s">
        <v>18</v>
      </c>
      <c r="I968" t="s">
        <v>16</v>
      </c>
      <c r="J968" t="s">
        <v>1150</v>
      </c>
      <c r="L968" t="s">
        <v>18</v>
      </c>
      <c r="M968" t="s">
        <v>2058</v>
      </c>
    </row>
    <row r="969" spans="2:13" x14ac:dyDescent="0.25">
      <c r="B969" t="s">
        <v>2014</v>
      </c>
      <c r="C969">
        <v>15351461</v>
      </c>
      <c r="D969" t="str">
        <f>"8595593005201"</f>
        <v>8595593005201</v>
      </c>
      <c r="E969" t="s">
        <v>2059</v>
      </c>
      <c r="F969" t="s">
        <v>191</v>
      </c>
      <c r="G969">
        <v>1</v>
      </c>
      <c r="H969" t="s">
        <v>18</v>
      </c>
      <c r="I969" t="s">
        <v>16</v>
      </c>
      <c r="J969" t="s">
        <v>1150</v>
      </c>
      <c r="L969" t="s">
        <v>18</v>
      </c>
      <c r="M969" t="s">
        <v>2045</v>
      </c>
    </row>
    <row r="970" spans="2:13" x14ac:dyDescent="0.25">
      <c r="B970" t="s">
        <v>2014</v>
      </c>
      <c r="C970">
        <v>15351479</v>
      </c>
      <c r="D970" t="str">
        <f>"8595593005218"</f>
        <v>8595593005218</v>
      </c>
      <c r="E970" t="s">
        <v>2060</v>
      </c>
      <c r="F970" t="s">
        <v>114</v>
      </c>
      <c r="G970">
        <v>1</v>
      </c>
      <c r="H970" t="s">
        <v>18</v>
      </c>
      <c r="I970" t="s">
        <v>16</v>
      </c>
      <c r="J970" t="s">
        <v>1150</v>
      </c>
      <c r="L970" t="s">
        <v>18</v>
      </c>
      <c r="M970" t="s">
        <v>2061</v>
      </c>
    </row>
    <row r="971" spans="2:13" x14ac:dyDescent="0.25">
      <c r="B971" t="s">
        <v>2014</v>
      </c>
      <c r="C971">
        <v>15351487</v>
      </c>
      <c r="D971" t="str">
        <f>"8595593005225"</f>
        <v>8595593005225</v>
      </c>
      <c r="E971" t="s">
        <v>2062</v>
      </c>
      <c r="F971" t="s">
        <v>285</v>
      </c>
      <c r="G971">
        <v>1</v>
      </c>
      <c r="H971" t="s">
        <v>18</v>
      </c>
      <c r="I971" t="s">
        <v>16</v>
      </c>
      <c r="J971" t="s">
        <v>1150</v>
      </c>
      <c r="L971" t="s">
        <v>18</v>
      </c>
      <c r="M971" t="s">
        <v>2063</v>
      </c>
    </row>
    <row r="972" spans="2:13" x14ac:dyDescent="0.25">
      <c r="B972" t="s">
        <v>2014</v>
      </c>
      <c r="C972">
        <v>15490292</v>
      </c>
      <c r="D972" t="str">
        <f>"4623720896270"</f>
        <v>4623720896270</v>
      </c>
      <c r="E972" t="s">
        <v>2064</v>
      </c>
      <c r="F972" t="s">
        <v>609</v>
      </c>
      <c r="G972">
        <v>1</v>
      </c>
      <c r="H972" t="s">
        <v>18</v>
      </c>
      <c r="I972" t="s">
        <v>16</v>
      </c>
      <c r="J972" t="s">
        <v>1979</v>
      </c>
      <c r="L972" t="s">
        <v>18</v>
      </c>
      <c r="M972" t="s">
        <v>1503</v>
      </c>
    </row>
    <row r="973" spans="2:13" x14ac:dyDescent="0.25">
      <c r="B973" t="s">
        <v>2014</v>
      </c>
      <c r="C973">
        <v>15490313</v>
      </c>
      <c r="D973" t="str">
        <f>"4623720896461"</f>
        <v>4623720896461</v>
      </c>
      <c r="E973" t="s">
        <v>2065</v>
      </c>
      <c r="F973" t="s">
        <v>27</v>
      </c>
      <c r="G973">
        <v>0</v>
      </c>
      <c r="H973" t="s">
        <v>18</v>
      </c>
      <c r="I973" t="s">
        <v>754</v>
      </c>
      <c r="J973" t="s">
        <v>1979</v>
      </c>
      <c r="K973" s="1">
        <v>42840</v>
      </c>
      <c r="L973" t="s">
        <v>18</v>
      </c>
      <c r="M973" t="s">
        <v>2066</v>
      </c>
    </row>
    <row r="974" spans="2:13" x14ac:dyDescent="0.25">
      <c r="B974" t="s">
        <v>2014</v>
      </c>
      <c r="C974">
        <v>15490330</v>
      </c>
      <c r="D974" t="str">
        <f>"4623720896317"</f>
        <v>4623720896317</v>
      </c>
      <c r="E974" t="s">
        <v>2067</v>
      </c>
      <c r="F974" t="s">
        <v>191</v>
      </c>
      <c r="G974">
        <v>0</v>
      </c>
      <c r="H974" t="s">
        <v>18</v>
      </c>
      <c r="I974" t="s">
        <v>754</v>
      </c>
      <c r="J974" t="s">
        <v>1979</v>
      </c>
      <c r="K974" s="1">
        <v>42840</v>
      </c>
      <c r="L974" t="s">
        <v>18</v>
      </c>
      <c r="M974" t="s">
        <v>2068</v>
      </c>
    </row>
    <row r="975" spans="2:13" x14ac:dyDescent="0.25">
      <c r="B975" t="s">
        <v>2014</v>
      </c>
      <c r="C975">
        <v>15490348</v>
      </c>
      <c r="D975" t="str">
        <f>"4623720896324"</f>
        <v>4623720896324</v>
      </c>
      <c r="E975" t="s">
        <v>2069</v>
      </c>
      <c r="F975" t="s">
        <v>48</v>
      </c>
      <c r="G975">
        <v>0</v>
      </c>
      <c r="H975" t="s">
        <v>18</v>
      </c>
      <c r="I975" t="s">
        <v>754</v>
      </c>
      <c r="J975" t="s">
        <v>1979</v>
      </c>
      <c r="K975" s="1">
        <v>42840</v>
      </c>
      <c r="L975" t="s">
        <v>18</v>
      </c>
      <c r="M975" t="s">
        <v>2070</v>
      </c>
    </row>
    <row r="976" spans="2:13" x14ac:dyDescent="0.25">
      <c r="B976" t="s">
        <v>2014</v>
      </c>
      <c r="C976">
        <v>15490364</v>
      </c>
      <c r="D976" t="str">
        <f>"4623720896348"</f>
        <v>4623720896348</v>
      </c>
      <c r="E976" t="s">
        <v>2071</v>
      </c>
      <c r="F976" t="s">
        <v>2072</v>
      </c>
      <c r="G976">
        <v>1</v>
      </c>
      <c r="H976" t="s">
        <v>18</v>
      </c>
      <c r="I976" t="s">
        <v>16</v>
      </c>
      <c r="J976" t="s">
        <v>1979</v>
      </c>
      <c r="L976" t="s">
        <v>18</v>
      </c>
      <c r="M976" t="s">
        <v>2073</v>
      </c>
    </row>
    <row r="977" spans="2:13" x14ac:dyDescent="0.25">
      <c r="B977" t="s">
        <v>2014</v>
      </c>
      <c r="C977">
        <v>15490372</v>
      </c>
      <c r="D977" t="str">
        <f>"4623720896355"</f>
        <v>4623720896355</v>
      </c>
      <c r="E977" t="s">
        <v>2074</v>
      </c>
      <c r="F977" t="s">
        <v>1015</v>
      </c>
      <c r="G977">
        <v>1</v>
      </c>
      <c r="H977" t="s">
        <v>18</v>
      </c>
      <c r="I977" t="s">
        <v>16</v>
      </c>
      <c r="J977" t="s">
        <v>1979</v>
      </c>
      <c r="L977" t="s">
        <v>18</v>
      </c>
      <c r="M977" t="s">
        <v>248</v>
      </c>
    </row>
    <row r="978" spans="2:13" x14ac:dyDescent="0.25">
      <c r="B978" t="s">
        <v>2014</v>
      </c>
      <c r="C978">
        <v>15490399</v>
      </c>
      <c r="D978" t="str">
        <f>"4623720896379"</f>
        <v>4623720896379</v>
      </c>
      <c r="E978" t="s">
        <v>2075</v>
      </c>
      <c r="F978" t="s">
        <v>1422</v>
      </c>
      <c r="G978">
        <v>1</v>
      </c>
      <c r="H978" t="s">
        <v>18</v>
      </c>
      <c r="I978" t="s">
        <v>16</v>
      </c>
      <c r="J978" t="s">
        <v>1979</v>
      </c>
      <c r="L978" t="s">
        <v>18</v>
      </c>
      <c r="M978" t="s">
        <v>2076</v>
      </c>
    </row>
    <row r="979" spans="2:13" x14ac:dyDescent="0.25">
      <c r="B979" t="s">
        <v>2014</v>
      </c>
      <c r="C979">
        <v>15490410</v>
      </c>
      <c r="D979" t="str">
        <f>"4623720896393"</f>
        <v>4623720896393</v>
      </c>
      <c r="E979" t="s">
        <v>2077</v>
      </c>
      <c r="F979" t="s">
        <v>60</v>
      </c>
      <c r="G979">
        <v>1</v>
      </c>
      <c r="H979" t="s">
        <v>18</v>
      </c>
      <c r="I979" t="s">
        <v>16</v>
      </c>
      <c r="J979" t="s">
        <v>1979</v>
      </c>
      <c r="L979" t="s">
        <v>18</v>
      </c>
      <c r="M979" t="s">
        <v>214</v>
      </c>
    </row>
    <row r="980" spans="2:13" x14ac:dyDescent="0.25">
      <c r="B980" t="s">
        <v>2014</v>
      </c>
      <c r="C980">
        <v>15490428</v>
      </c>
      <c r="D980" t="str">
        <f>"4623720896409"</f>
        <v>4623720896409</v>
      </c>
      <c r="E980" t="s">
        <v>2078</v>
      </c>
      <c r="F980" t="s">
        <v>406</v>
      </c>
      <c r="G980">
        <v>1</v>
      </c>
      <c r="H980" t="s">
        <v>18</v>
      </c>
      <c r="I980" t="s">
        <v>16</v>
      </c>
      <c r="J980" t="s">
        <v>1979</v>
      </c>
      <c r="L980" t="s">
        <v>18</v>
      </c>
      <c r="M980" t="s">
        <v>2079</v>
      </c>
    </row>
    <row r="981" spans="2:13" x14ac:dyDescent="0.25">
      <c r="B981" t="s">
        <v>2014</v>
      </c>
      <c r="C981">
        <v>15490436</v>
      </c>
      <c r="D981" t="str">
        <f>"4623720896416"</f>
        <v>4623720896416</v>
      </c>
      <c r="E981" t="s">
        <v>2080</v>
      </c>
      <c r="F981" t="s">
        <v>328</v>
      </c>
      <c r="G981">
        <v>1</v>
      </c>
      <c r="H981" t="s">
        <v>18</v>
      </c>
      <c r="I981" t="s">
        <v>16</v>
      </c>
      <c r="J981" t="s">
        <v>1979</v>
      </c>
      <c r="L981" t="s">
        <v>18</v>
      </c>
      <c r="M981" t="s">
        <v>2045</v>
      </c>
    </row>
    <row r="982" spans="2:13" x14ac:dyDescent="0.25">
      <c r="B982" t="s">
        <v>2014</v>
      </c>
      <c r="C982">
        <v>15490444</v>
      </c>
      <c r="D982" t="str">
        <f>"4623720896423"</f>
        <v>4623720896423</v>
      </c>
      <c r="E982" t="s">
        <v>2081</v>
      </c>
      <c r="F982" t="s">
        <v>466</v>
      </c>
      <c r="G982">
        <v>1</v>
      </c>
      <c r="H982" t="s">
        <v>18</v>
      </c>
      <c r="I982" t="s">
        <v>16</v>
      </c>
      <c r="J982" t="s">
        <v>1979</v>
      </c>
      <c r="L982" t="s">
        <v>18</v>
      </c>
      <c r="M982" t="s">
        <v>2082</v>
      </c>
    </row>
    <row r="983" spans="2:13" x14ac:dyDescent="0.25">
      <c r="B983" t="s">
        <v>2014</v>
      </c>
      <c r="C983">
        <v>15490452</v>
      </c>
      <c r="D983" t="str">
        <f>"4623720896430"</f>
        <v>4623720896430</v>
      </c>
      <c r="E983" t="s">
        <v>2083</v>
      </c>
      <c r="F983" t="s">
        <v>328</v>
      </c>
      <c r="G983">
        <v>1</v>
      </c>
      <c r="H983" t="s">
        <v>18</v>
      </c>
      <c r="I983" t="s">
        <v>16</v>
      </c>
      <c r="J983" t="s">
        <v>1979</v>
      </c>
      <c r="L983" t="s">
        <v>18</v>
      </c>
      <c r="M983" t="s">
        <v>280</v>
      </c>
    </row>
    <row r="984" spans="2:13" x14ac:dyDescent="0.25">
      <c r="B984" t="s">
        <v>2014</v>
      </c>
      <c r="C984">
        <v>15490461</v>
      </c>
      <c r="D984" t="str">
        <f>"4623720896447"</f>
        <v>4623720896447</v>
      </c>
      <c r="E984" t="s">
        <v>2084</v>
      </c>
      <c r="F984" t="s">
        <v>406</v>
      </c>
      <c r="G984">
        <v>1</v>
      </c>
      <c r="H984" t="s">
        <v>18</v>
      </c>
      <c r="I984" t="s">
        <v>16</v>
      </c>
      <c r="J984" t="s">
        <v>1979</v>
      </c>
      <c r="L984" t="s">
        <v>18</v>
      </c>
      <c r="M984" t="s">
        <v>2038</v>
      </c>
    </row>
    <row r="985" spans="2:13" x14ac:dyDescent="0.25">
      <c r="B985" t="s">
        <v>2014</v>
      </c>
      <c r="C985">
        <v>15850294</v>
      </c>
      <c r="D985" t="str">
        <f>"4742943010536"</f>
        <v>4742943010536</v>
      </c>
      <c r="E985" t="s">
        <v>2085</v>
      </c>
      <c r="F985" t="s">
        <v>413</v>
      </c>
      <c r="G985">
        <v>1</v>
      </c>
      <c r="H985" t="s">
        <v>18</v>
      </c>
      <c r="I985" t="s">
        <v>16</v>
      </c>
      <c r="J985" t="s">
        <v>1976</v>
      </c>
      <c r="L985" t="s">
        <v>18</v>
      </c>
      <c r="M985" t="s">
        <v>633</v>
      </c>
    </row>
    <row r="986" spans="2:13" x14ac:dyDescent="0.25">
      <c r="B986" t="s">
        <v>2014</v>
      </c>
      <c r="C986">
        <v>15850331</v>
      </c>
      <c r="D986" t="str">
        <f>"4742943010840"</f>
        <v>4742943010840</v>
      </c>
      <c r="E986" t="s">
        <v>2086</v>
      </c>
      <c r="F986" t="s">
        <v>240</v>
      </c>
      <c r="G986">
        <v>1</v>
      </c>
      <c r="H986" t="s">
        <v>18</v>
      </c>
      <c r="I986" t="s">
        <v>16</v>
      </c>
      <c r="J986" t="s">
        <v>1976</v>
      </c>
      <c r="L986" t="s">
        <v>18</v>
      </c>
      <c r="M986" t="s">
        <v>2087</v>
      </c>
    </row>
    <row r="987" spans="2:13" x14ac:dyDescent="0.25">
      <c r="B987" t="s">
        <v>2014</v>
      </c>
      <c r="C987">
        <v>15850340</v>
      </c>
      <c r="D987" t="str">
        <f>"4742943010611"</f>
        <v>4742943010611</v>
      </c>
      <c r="E987" t="s">
        <v>2088</v>
      </c>
      <c r="F987" t="s">
        <v>48</v>
      </c>
      <c r="G987">
        <v>1</v>
      </c>
      <c r="H987" t="s">
        <v>18</v>
      </c>
      <c r="I987" t="s">
        <v>16</v>
      </c>
      <c r="J987" t="s">
        <v>1976</v>
      </c>
      <c r="L987" t="s">
        <v>18</v>
      </c>
      <c r="M987" t="s">
        <v>2089</v>
      </c>
    </row>
    <row r="988" spans="2:13" x14ac:dyDescent="0.25">
      <c r="B988" t="s">
        <v>2014</v>
      </c>
      <c r="C988">
        <v>15850366</v>
      </c>
      <c r="D988" t="str">
        <f>"4742943010697"</f>
        <v>4742943010697</v>
      </c>
      <c r="E988" t="s">
        <v>2090</v>
      </c>
      <c r="F988" t="s">
        <v>823</v>
      </c>
      <c r="G988">
        <v>1</v>
      </c>
      <c r="H988" t="s">
        <v>18</v>
      </c>
      <c r="I988" t="s">
        <v>16</v>
      </c>
      <c r="J988" t="s">
        <v>1976</v>
      </c>
      <c r="L988" t="s">
        <v>18</v>
      </c>
      <c r="M988" t="s">
        <v>2091</v>
      </c>
    </row>
    <row r="989" spans="2:13" x14ac:dyDescent="0.25">
      <c r="B989" t="s">
        <v>2014</v>
      </c>
      <c r="C989">
        <v>15850374</v>
      </c>
      <c r="D989" t="str">
        <f>"4742943010703"</f>
        <v>4742943010703</v>
      </c>
      <c r="E989" t="s">
        <v>2092</v>
      </c>
      <c r="F989" t="s">
        <v>21</v>
      </c>
      <c r="G989">
        <v>1</v>
      </c>
      <c r="H989" t="s">
        <v>18</v>
      </c>
      <c r="I989" t="s">
        <v>16</v>
      </c>
      <c r="J989" t="s">
        <v>1976</v>
      </c>
      <c r="L989" t="s">
        <v>18</v>
      </c>
      <c r="M989" t="s">
        <v>2093</v>
      </c>
    </row>
    <row r="990" spans="2:13" x14ac:dyDescent="0.25">
      <c r="B990" t="s">
        <v>2014</v>
      </c>
      <c r="C990">
        <v>15850382</v>
      </c>
      <c r="D990" t="str">
        <f>"4742943010727"</f>
        <v>4742943010727</v>
      </c>
      <c r="E990" t="s">
        <v>2094</v>
      </c>
      <c r="F990" t="s">
        <v>240</v>
      </c>
      <c r="G990">
        <v>1</v>
      </c>
      <c r="H990" t="s">
        <v>18</v>
      </c>
      <c r="I990" t="s">
        <v>16</v>
      </c>
      <c r="J990" t="s">
        <v>1976</v>
      </c>
      <c r="L990" t="s">
        <v>18</v>
      </c>
      <c r="M990" t="s">
        <v>2095</v>
      </c>
    </row>
    <row r="991" spans="2:13" x14ac:dyDescent="0.25">
      <c r="B991" t="s">
        <v>2014</v>
      </c>
      <c r="C991">
        <v>15850391</v>
      </c>
      <c r="D991" t="str">
        <f>"4742943010734"</f>
        <v>4742943010734</v>
      </c>
      <c r="E991" t="s">
        <v>2096</v>
      </c>
      <c r="F991" t="s">
        <v>268</v>
      </c>
      <c r="G991">
        <v>1</v>
      </c>
      <c r="H991" t="s">
        <v>18</v>
      </c>
      <c r="I991" t="s">
        <v>16</v>
      </c>
      <c r="J991" t="s">
        <v>1976</v>
      </c>
      <c r="L991" t="s">
        <v>18</v>
      </c>
      <c r="M991" t="s">
        <v>2097</v>
      </c>
    </row>
    <row r="992" spans="2:13" x14ac:dyDescent="0.25">
      <c r="B992" t="s">
        <v>2014</v>
      </c>
      <c r="C992">
        <v>17314292</v>
      </c>
      <c r="D992" t="str">
        <f>"8595593006369"</f>
        <v>8595593006369</v>
      </c>
      <c r="E992" t="s">
        <v>2098</v>
      </c>
      <c r="F992" t="s">
        <v>194</v>
      </c>
      <c r="G992">
        <v>1</v>
      </c>
      <c r="H992" t="s">
        <v>18</v>
      </c>
      <c r="I992" t="s">
        <v>16</v>
      </c>
      <c r="J992" t="s">
        <v>1150</v>
      </c>
      <c r="L992" t="s">
        <v>18</v>
      </c>
      <c r="M992" t="s">
        <v>781</v>
      </c>
    </row>
    <row r="993" spans="2:13" x14ac:dyDescent="0.25">
      <c r="B993" t="s">
        <v>2014</v>
      </c>
      <c r="C993">
        <v>18193841</v>
      </c>
      <c r="D993" t="str">
        <f>"4680018340167"</f>
        <v>4680018340167</v>
      </c>
      <c r="E993" t="s">
        <v>2099</v>
      </c>
      <c r="F993" t="s">
        <v>2100</v>
      </c>
      <c r="G993">
        <v>1</v>
      </c>
      <c r="H993" t="s">
        <v>18</v>
      </c>
      <c r="I993" t="s">
        <v>16</v>
      </c>
      <c r="J993" t="s">
        <v>1682</v>
      </c>
      <c r="L993" t="s">
        <v>18</v>
      </c>
      <c r="M993" t="s">
        <v>252</v>
      </c>
    </row>
    <row r="994" spans="2:13" x14ac:dyDescent="0.25">
      <c r="B994" t="s">
        <v>2101</v>
      </c>
      <c r="C994">
        <v>12349306</v>
      </c>
      <c r="D994" t="str">
        <f>"4607110960369"</f>
        <v>4607110960369</v>
      </c>
      <c r="E994" t="s">
        <v>2102</v>
      </c>
      <c r="F994" t="s">
        <v>2103</v>
      </c>
      <c r="G994">
        <v>1</v>
      </c>
      <c r="H994" t="s">
        <v>18</v>
      </c>
      <c r="I994" t="s">
        <v>16</v>
      </c>
      <c r="J994" t="s">
        <v>1521</v>
      </c>
      <c r="L994" t="s">
        <v>18</v>
      </c>
      <c r="M994" t="s">
        <v>242</v>
      </c>
    </row>
    <row r="995" spans="2:13" x14ac:dyDescent="0.25">
      <c r="B995" t="s">
        <v>2101</v>
      </c>
      <c r="C995">
        <v>13947201</v>
      </c>
      <c r="D995" t="str">
        <f>"4620765855712"</f>
        <v>4620765855712</v>
      </c>
      <c r="E995" t="s">
        <v>2104</v>
      </c>
      <c r="F995" t="s">
        <v>1965</v>
      </c>
      <c r="G995">
        <v>1</v>
      </c>
      <c r="H995" t="s">
        <v>18</v>
      </c>
      <c r="I995" t="s">
        <v>16</v>
      </c>
      <c r="J995" t="s">
        <v>854</v>
      </c>
      <c r="L995" t="s">
        <v>18</v>
      </c>
      <c r="M995" t="s">
        <v>1961</v>
      </c>
    </row>
    <row r="996" spans="2:13" x14ac:dyDescent="0.25">
      <c r="B996" t="s">
        <v>2101</v>
      </c>
      <c r="C996">
        <v>15063688</v>
      </c>
      <c r="D996" t="str">
        <f>"6931234572534"</f>
        <v>6931234572534</v>
      </c>
      <c r="E996" t="s">
        <v>2105</v>
      </c>
      <c r="F996" t="s">
        <v>34</v>
      </c>
      <c r="G996">
        <v>0</v>
      </c>
      <c r="H996" t="s">
        <v>18</v>
      </c>
      <c r="I996" t="s">
        <v>16</v>
      </c>
      <c r="J996" t="s">
        <v>239</v>
      </c>
      <c r="K996" s="1">
        <v>42941</v>
      </c>
      <c r="L996" t="s">
        <v>18</v>
      </c>
      <c r="M996" t="s">
        <v>813</v>
      </c>
    </row>
    <row r="997" spans="2:13" x14ac:dyDescent="0.25">
      <c r="B997" t="s">
        <v>2101</v>
      </c>
      <c r="C997">
        <v>16419295</v>
      </c>
      <c r="D997" t="str">
        <f>"3276005533721"</f>
        <v>3276005533721</v>
      </c>
      <c r="E997" t="s">
        <v>2106</v>
      </c>
      <c r="F997" t="s">
        <v>823</v>
      </c>
      <c r="G997">
        <v>1</v>
      </c>
      <c r="H997" t="s">
        <v>18</v>
      </c>
      <c r="I997" t="s">
        <v>16</v>
      </c>
      <c r="J997" t="s">
        <v>17</v>
      </c>
      <c r="L997" t="s">
        <v>18</v>
      </c>
      <c r="M997" t="s">
        <v>2107</v>
      </c>
    </row>
    <row r="998" spans="2:13" x14ac:dyDescent="0.25">
      <c r="B998" t="s">
        <v>2101</v>
      </c>
      <c r="C998">
        <v>16419308</v>
      </c>
      <c r="D998" t="str">
        <f>"3276005533684"</f>
        <v>3276005533684</v>
      </c>
      <c r="E998" t="s">
        <v>2108</v>
      </c>
      <c r="F998" t="s">
        <v>649</v>
      </c>
      <c r="G998">
        <v>1</v>
      </c>
      <c r="H998" t="s">
        <v>18</v>
      </c>
      <c r="I998" t="s">
        <v>16</v>
      </c>
      <c r="J998" t="s">
        <v>17</v>
      </c>
      <c r="L998" t="s">
        <v>18</v>
      </c>
      <c r="M998" t="s">
        <v>2109</v>
      </c>
    </row>
    <row r="999" spans="2:13" x14ac:dyDescent="0.25">
      <c r="B999" t="s">
        <v>2101</v>
      </c>
      <c r="C999">
        <v>16419316</v>
      </c>
      <c r="D999" t="str">
        <f>"3276005533646"</f>
        <v>3276005533646</v>
      </c>
      <c r="E999" t="s">
        <v>2110</v>
      </c>
      <c r="F999" t="s">
        <v>114</v>
      </c>
      <c r="G999">
        <v>1</v>
      </c>
      <c r="H999" t="s">
        <v>18</v>
      </c>
      <c r="I999" t="s">
        <v>16</v>
      </c>
      <c r="J999" t="s">
        <v>17</v>
      </c>
      <c r="L999" t="s">
        <v>18</v>
      </c>
      <c r="M999" t="s">
        <v>2006</v>
      </c>
    </row>
    <row r="1000" spans="2:13" x14ac:dyDescent="0.25">
      <c r="B1000" t="s">
        <v>2101</v>
      </c>
      <c r="C1000">
        <v>16419324</v>
      </c>
      <c r="D1000" t="str">
        <f>"3276005533608"</f>
        <v>3276005533608</v>
      </c>
      <c r="E1000" t="s">
        <v>2111</v>
      </c>
      <c r="F1000" t="s">
        <v>277</v>
      </c>
      <c r="G1000">
        <v>1</v>
      </c>
      <c r="H1000" t="s">
        <v>18</v>
      </c>
      <c r="I1000" t="s">
        <v>16</v>
      </c>
      <c r="J1000" t="s">
        <v>17</v>
      </c>
      <c r="L1000" t="s">
        <v>18</v>
      </c>
      <c r="M1000" t="s">
        <v>1995</v>
      </c>
    </row>
    <row r="1001" spans="2:13" x14ac:dyDescent="0.25">
      <c r="B1001" t="s">
        <v>2101</v>
      </c>
      <c r="C1001">
        <v>16419332</v>
      </c>
      <c r="D1001" t="str">
        <f>"3276005533561"</f>
        <v>3276005533561</v>
      </c>
      <c r="E1001" t="s">
        <v>2112</v>
      </c>
      <c r="F1001" t="s">
        <v>310</v>
      </c>
      <c r="G1001">
        <v>1</v>
      </c>
      <c r="H1001" t="s">
        <v>18</v>
      </c>
      <c r="I1001" t="s">
        <v>16</v>
      </c>
      <c r="J1001" t="s">
        <v>17</v>
      </c>
      <c r="L1001" t="s">
        <v>18</v>
      </c>
      <c r="M1001" t="s">
        <v>2013</v>
      </c>
    </row>
    <row r="1002" spans="2:13" x14ac:dyDescent="0.25">
      <c r="B1002" t="s">
        <v>2101</v>
      </c>
      <c r="C1002">
        <v>16419341</v>
      </c>
      <c r="D1002" t="str">
        <f>"3276005533523"</f>
        <v>3276005533523</v>
      </c>
      <c r="E1002" t="s">
        <v>2113</v>
      </c>
      <c r="F1002" t="s">
        <v>60</v>
      </c>
      <c r="G1002">
        <v>1</v>
      </c>
      <c r="H1002" t="s">
        <v>18</v>
      </c>
      <c r="I1002" t="s">
        <v>16</v>
      </c>
      <c r="J1002" t="s">
        <v>17</v>
      </c>
      <c r="L1002" t="s">
        <v>18</v>
      </c>
      <c r="M1002" t="s">
        <v>2114</v>
      </c>
    </row>
    <row r="1003" spans="2:13" x14ac:dyDescent="0.25">
      <c r="B1003" t="s">
        <v>2101</v>
      </c>
      <c r="C1003">
        <v>16520297</v>
      </c>
      <c r="D1003" t="str">
        <f>"3276005713277"</f>
        <v>3276005713277</v>
      </c>
      <c r="E1003" t="s">
        <v>2115</v>
      </c>
      <c r="F1003" t="s">
        <v>310</v>
      </c>
      <c r="G1003">
        <v>1</v>
      </c>
      <c r="H1003" t="s">
        <v>18</v>
      </c>
      <c r="I1003" t="s">
        <v>16</v>
      </c>
      <c r="J1003" t="s">
        <v>17</v>
      </c>
      <c r="L1003" t="s">
        <v>18</v>
      </c>
      <c r="M1003" t="s">
        <v>890</v>
      </c>
    </row>
    <row r="1004" spans="2:13" x14ac:dyDescent="0.25">
      <c r="B1004" t="s">
        <v>2101</v>
      </c>
      <c r="C1004">
        <v>16520300</v>
      </c>
      <c r="D1004" t="str">
        <f>"3276005713239"</f>
        <v>3276005713239</v>
      </c>
      <c r="E1004" t="s">
        <v>2116</v>
      </c>
      <c r="F1004" t="s">
        <v>1783</v>
      </c>
      <c r="G1004">
        <v>1</v>
      </c>
      <c r="H1004" t="s">
        <v>18</v>
      </c>
      <c r="I1004" t="s">
        <v>16</v>
      </c>
      <c r="J1004" t="s">
        <v>17</v>
      </c>
      <c r="L1004" t="s">
        <v>18</v>
      </c>
      <c r="M1004" t="s">
        <v>1980</v>
      </c>
    </row>
    <row r="1005" spans="2:13" x14ac:dyDescent="0.25">
      <c r="B1005" t="s">
        <v>2101</v>
      </c>
      <c r="C1005">
        <v>16520318</v>
      </c>
      <c r="D1005" t="str">
        <f>"3276005713192"</f>
        <v>3276005713192</v>
      </c>
      <c r="E1005" t="s">
        <v>2117</v>
      </c>
      <c r="F1005" t="s">
        <v>1418</v>
      </c>
      <c r="G1005">
        <v>1</v>
      </c>
      <c r="H1005" t="s">
        <v>18</v>
      </c>
      <c r="I1005" t="s">
        <v>16</v>
      </c>
      <c r="J1005" t="s">
        <v>17</v>
      </c>
      <c r="L1005" t="s">
        <v>18</v>
      </c>
      <c r="M1005" t="s">
        <v>836</v>
      </c>
    </row>
    <row r="1006" spans="2:13" x14ac:dyDescent="0.25">
      <c r="B1006" t="s">
        <v>2101</v>
      </c>
      <c r="C1006">
        <v>16520326</v>
      </c>
      <c r="D1006" t="str">
        <f>"3276005713154"</f>
        <v>3276005713154</v>
      </c>
      <c r="E1006" t="s">
        <v>2118</v>
      </c>
      <c r="F1006" t="s">
        <v>114</v>
      </c>
      <c r="G1006">
        <v>1</v>
      </c>
      <c r="H1006" t="s">
        <v>18</v>
      </c>
      <c r="I1006" t="s">
        <v>16</v>
      </c>
      <c r="J1006" t="s">
        <v>17</v>
      </c>
      <c r="L1006" t="s">
        <v>18</v>
      </c>
      <c r="M1006" t="s">
        <v>2119</v>
      </c>
    </row>
    <row r="1007" spans="2:13" x14ac:dyDescent="0.25">
      <c r="B1007" t="s">
        <v>2101</v>
      </c>
      <c r="C1007">
        <v>16520334</v>
      </c>
      <c r="D1007" t="str">
        <f>"3276005713116"</f>
        <v>3276005713116</v>
      </c>
      <c r="E1007" t="s">
        <v>2120</v>
      </c>
      <c r="F1007" t="s">
        <v>1025</v>
      </c>
      <c r="G1007">
        <v>1</v>
      </c>
      <c r="H1007" t="s">
        <v>18</v>
      </c>
      <c r="I1007" t="s">
        <v>16</v>
      </c>
      <c r="J1007" t="s">
        <v>17</v>
      </c>
      <c r="L1007" t="s">
        <v>18</v>
      </c>
      <c r="M1007" t="s">
        <v>781</v>
      </c>
    </row>
    <row r="1008" spans="2:13" x14ac:dyDescent="0.25">
      <c r="B1008" t="s">
        <v>2101</v>
      </c>
      <c r="C1008">
        <v>16520342</v>
      </c>
      <c r="D1008" t="str">
        <f>"3276005713079"</f>
        <v>3276005713079</v>
      </c>
      <c r="E1008" t="s">
        <v>2121</v>
      </c>
      <c r="F1008" t="s">
        <v>485</v>
      </c>
      <c r="G1008">
        <v>1</v>
      </c>
      <c r="H1008" t="s">
        <v>18</v>
      </c>
      <c r="I1008" t="s">
        <v>16</v>
      </c>
      <c r="J1008" t="s">
        <v>17</v>
      </c>
      <c r="L1008" t="s">
        <v>18</v>
      </c>
      <c r="M1008" t="s">
        <v>890</v>
      </c>
    </row>
    <row r="1009" spans="2:13" x14ac:dyDescent="0.25">
      <c r="B1009" t="s">
        <v>2101</v>
      </c>
      <c r="C1009">
        <v>16520351</v>
      </c>
      <c r="D1009" t="str">
        <f>"3276005535916"</f>
        <v>3276005535916</v>
      </c>
      <c r="E1009" t="s">
        <v>2122</v>
      </c>
      <c r="F1009" t="s">
        <v>410</v>
      </c>
      <c r="G1009">
        <v>0</v>
      </c>
      <c r="H1009" t="s">
        <v>18</v>
      </c>
      <c r="I1009" t="s">
        <v>16</v>
      </c>
      <c r="J1009" t="s">
        <v>17</v>
      </c>
      <c r="L1009" t="s">
        <v>18</v>
      </c>
      <c r="M1009" t="s">
        <v>2123</v>
      </c>
    </row>
    <row r="1010" spans="2:13" x14ac:dyDescent="0.25">
      <c r="B1010" t="s">
        <v>2101</v>
      </c>
      <c r="C1010">
        <v>16520369</v>
      </c>
      <c r="D1010" t="str">
        <f>"3276005535879"</f>
        <v>3276005535879</v>
      </c>
      <c r="E1010" t="s">
        <v>2124</v>
      </c>
      <c r="F1010" t="s">
        <v>2125</v>
      </c>
      <c r="G1010">
        <v>1</v>
      </c>
      <c r="H1010" t="s">
        <v>18</v>
      </c>
      <c r="I1010" t="s">
        <v>16</v>
      </c>
      <c r="J1010" t="s">
        <v>17</v>
      </c>
      <c r="L1010" t="s">
        <v>18</v>
      </c>
      <c r="M1010" t="s">
        <v>2126</v>
      </c>
    </row>
    <row r="1011" spans="2:13" x14ac:dyDescent="0.25">
      <c r="B1011" t="s">
        <v>2101</v>
      </c>
      <c r="C1011">
        <v>16520377</v>
      </c>
      <c r="D1011" t="str">
        <f>"3276005535831"</f>
        <v>3276005535831</v>
      </c>
      <c r="E1011" t="s">
        <v>2127</v>
      </c>
      <c r="F1011" t="s">
        <v>425</v>
      </c>
      <c r="G1011">
        <v>1</v>
      </c>
      <c r="H1011" t="s">
        <v>18</v>
      </c>
      <c r="I1011" t="s">
        <v>16</v>
      </c>
      <c r="J1011" t="s">
        <v>17</v>
      </c>
      <c r="L1011" t="s">
        <v>18</v>
      </c>
      <c r="M1011" t="s">
        <v>2016</v>
      </c>
    </row>
    <row r="1012" spans="2:13" x14ac:dyDescent="0.25">
      <c r="B1012" t="s">
        <v>2101</v>
      </c>
      <c r="C1012">
        <v>16520385</v>
      </c>
      <c r="D1012" t="str">
        <f>"3276005535794"</f>
        <v>3276005535794</v>
      </c>
      <c r="E1012" t="s">
        <v>2128</v>
      </c>
      <c r="F1012" t="s">
        <v>609</v>
      </c>
      <c r="G1012">
        <v>1</v>
      </c>
      <c r="H1012" t="s">
        <v>18</v>
      </c>
      <c r="I1012" t="s">
        <v>16</v>
      </c>
      <c r="J1012" t="s">
        <v>17</v>
      </c>
      <c r="L1012" t="s">
        <v>18</v>
      </c>
      <c r="M1012" t="s">
        <v>1725</v>
      </c>
    </row>
    <row r="1013" spans="2:13" x14ac:dyDescent="0.25">
      <c r="B1013" t="s">
        <v>2101</v>
      </c>
      <c r="C1013">
        <v>16520393</v>
      </c>
      <c r="D1013" t="str">
        <f>"3276005535756"</f>
        <v>3276005535756</v>
      </c>
      <c r="E1013" t="s">
        <v>2129</v>
      </c>
      <c r="F1013" t="s">
        <v>1418</v>
      </c>
      <c r="G1013">
        <v>1</v>
      </c>
      <c r="H1013" t="s">
        <v>18</v>
      </c>
      <c r="I1013" t="s">
        <v>16</v>
      </c>
      <c r="J1013" t="s">
        <v>17</v>
      </c>
      <c r="L1013" t="s">
        <v>18</v>
      </c>
      <c r="M1013" t="s">
        <v>2130</v>
      </c>
    </row>
    <row r="1014" spans="2:13" x14ac:dyDescent="0.25">
      <c r="B1014" t="s">
        <v>2101</v>
      </c>
      <c r="C1014">
        <v>16520406</v>
      </c>
      <c r="D1014" t="str">
        <f>"3276005535077"</f>
        <v>3276005535077</v>
      </c>
      <c r="E1014" t="s">
        <v>2131</v>
      </c>
      <c r="F1014" t="s">
        <v>442</v>
      </c>
      <c r="G1014">
        <v>1</v>
      </c>
      <c r="H1014" t="s">
        <v>18</v>
      </c>
      <c r="I1014" t="s">
        <v>16</v>
      </c>
      <c r="J1014" t="s">
        <v>17</v>
      </c>
      <c r="L1014" t="s">
        <v>18</v>
      </c>
      <c r="M1014" t="s">
        <v>786</v>
      </c>
    </row>
    <row r="1015" spans="2:13" x14ac:dyDescent="0.25">
      <c r="B1015" t="s">
        <v>2101</v>
      </c>
      <c r="C1015">
        <v>16520414</v>
      </c>
      <c r="D1015" t="str">
        <f>"3276005535039"</f>
        <v>3276005535039</v>
      </c>
      <c r="E1015" t="s">
        <v>2132</v>
      </c>
      <c r="F1015" t="s">
        <v>185</v>
      </c>
      <c r="G1015">
        <v>1</v>
      </c>
      <c r="H1015" t="s">
        <v>18</v>
      </c>
      <c r="I1015" t="s">
        <v>16</v>
      </c>
      <c r="J1015" t="s">
        <v>17</v>
      </c>
      <c r="L1015" t="s">
        <v>18</v>
      </c>
      <c r="M1015" t="s">
        <v>1980</v>
      </c>
    </row>
    <row r="1016" spans="2:13" x14ac:dyDescent="0.25">
      <c r="B1016" t="s">
        <v>2101</v>
      </c>
      <c r="C1016">
        <v>16520422</v>
      </c>
      <c r="D1016" t="str">
        <f>"3276005534995"</f>
        <v>3276005534995</v>
      </c>
      <c r="E1016" t="s">
        <v>2133</v>
      </c>
      <c r="F1016" t="s">
        <v>165</v>
      </c>
      <c r="G1016">
        <v>1</v>
      </c>
      <c r="H1016" t="s">
        <v>18</v>
      </c>
      <c r="I1016" t="s">
        <v>16</v>
      </c>
      <c r="J1016" t="s">
        <v>17</v>
      </c>
      <c r="L1016" t="s">
        <v>18</v>
      </c>
      <c r="M1016" t="s">
        <v>2134</v>
      </c>
    </row>
    <row r="1017" spans="2:13" x14ac:dyDescent="0.25">
      <c r="B1017" t="s">
        <v>2101</v>
      </c>
      <c r="C1017">
        <v>16520449</v>
      </c>
      <c r="D1017" t="str">
        <f>"3276005534957"</f>
        <v>3276005534957</v>
      </c>
      <c r="E1017" t="s">
        <v>2135</v>
      </c>
      <c r="F1017" t="s">
        <v>60</v>
      </c>
      <c r="G1017">
        <v>1</v>
      </c>
      <c r="H1017" t="s">
        <v>18</v>
      </c>
      <c r="I1017" t="s">
        <v>16</v>
      </c>
      <c r="J1017" t="s">
        <v>17</v>
      </c>
      <c r="L1017" t="s">
        <v>18</v>
      </c>
      <c r="M1017" t="s">
        <v>2134</v>
      </c>
    </row>
    <row r="1018" spans="2:13" x14ac:dyDescent="0.25">
      <c r="B1018" t="s">
        <v>2101</v>
      </c>
      <c r="C1018">
        <v>16545291</v>
      </c>
      <c r="D1018" t="str">
        <f>"3276005632370"</f>
        <v>3276005632370</v>
      </c>
      <c r="E1018" t="s">
        <v>2136</v>
      </c>
      <c r="F1018" t="s">
        <v>310</v>
      </c>
      <c r="G1018">
        <v>1</v>
      </c>
      <c r="H1018" t="s">
        <v>18</v>
      </c>
      <c r="I1018" t="s">
        <v>16</v>
      </c>
      <c r="J1018" t="s">
        <v>17</v>
      </c>
      <c r="L1018" t="s">
        <v>18</v>
      </c>
      <c r="M1018" t="s">
        <v>2137</v>
      </c>
    </row>
    <row r="1019" spans="2:13" x14ac:dyDescent="0.25">
      <c r="B1019" t="s">
        <v>2101</v>
      </c>
      <c r="C1019">
        <v>16546307</v>
      </c>
      <c r="D1019" t="str">
        <f>"3276005632332"</f>
        <v>3276005632332</v>
      </c>
      <c r="E1019" t="s">
        <v>2138</v>
      </c>
      <c r="F1019" t="s">
        <v>114</v>
      </c>
      <c r="G1019">
        <v>0</v>
      </c>
      <c r="H1019" t="s">
        <v>18</v>
      </c>
      <c r="I1019" t="s">
        <v>16</v>
      </c>
      <c r="J1019" t="s">
        <v>17</v>
      </c>
      <c r="L1019" t="s">
        <v>18</v>
      </c>
      <c r="M1019" t="s">
        <v>1669</v>
      </c>
    </row>
    <row r="1020" spans="2:13" x14ac:dyDescent="0.25">
      <c r="B1020" t="s">
        <v>2101</v>
      </c>
      <c r="C1020">
        <v>16546315</v>
      </c>
      <c r="D1020" t="str">
        <f>"3276005632295"</f>
        <v>3276005632295</v>
      </c>
      <c r="E1020" t="s">
        <v>2139</v>
      </c>
      <c r="F1020" t="s">
        <v>413</v>
      </c>
      <c r="G1020">
        <v>1</v>
      </c>
      <c r="H1020" t="s">
        <v>18</v>
      </c>
      <c r="I1020" t="s">
        <v>16</v>
      </c>
      <c r="J1020" t="s">
        <v>17</v>
      </c>
      <c r="L1020" t="s">
        <v>18</v>
      </c>
      <c r="M1020" t="s">
        <v>766</v>
      </c>
    </row>
    <row r="1021" spans="2:13" x14ac:dyDescent="0.25">
      <c r="B1021" t="s">
        <v>2101</v>
      </c>
      <c r="C1021">
        <v>16546331</v>
      </c>
      <c r="D1021" t="str">
        <f>"3276005632257"</f>
        <v>3276005632257</v>
      </c>
      <c r="E1021" t="s">
        <v>2140</v>
      </c>
      <c r="F1021" t="s">
        <v>60</v>
      </c>
      <c r="G1021">
        <v>0</v>
      </c>
      <c r="H1021" t="s">
        <v>18</v>
      </c>
      <c r="I1021" t="s">
        <v>16</v>
      </c>
      <c r="J1021" t="s">
        <v>17</v>
      </c>
      <c r="L1021" t="s">
        <v>18</v>
      </c>
      <c r="M1021" t="s">
        <v>766</v>
      </c>
    </row>
    <row r="1022" spans="2:13" x14ac:dyDescent="0.25">
      <c r="B1022" t="s">
        <v>2101</v>
      </c>
      <c r="C1022">
        <v>16546340</v>
      </c>
      <c r="D1022" t="str">
        <f>"3276005632219"</f>
        <v>3276005632219</v>
      </c>
      <c r="E1022" t="s">
        <v>2141</v>
      </c>
      <c r="F1022" t="s">
        <v>325</v>
      </c>
      <c r="G1022">
        <v>1</v>
      </c>
      <c r="H1022" t="s">
        <v>18</v>
      </c>
      <c r="I1022" t="s">
        <v>16</v>
      </c>
      <c r="J1022" t="s">
        <v>17</v>
      </c>
      <c r="L1022" t="s">
        <v>18</v>
      </c>
      <c r="M1022" t="s">
        <v>2142</v>
      </c>
    </row>
    <row r="1023" spans="2:13" x14ac:dyDescent="0.25">
      <c r="B1023" t="s">
        <v>2101</v>
      </c>
      <c r="C1023">
        <v>17070291</v>
      </c>
      <c r="D1023" t="str">
        <f>"6931234572695"</f>
        <v>6931234572695</v>
      </c>
      <c r="E1023" t="s">
        <v>2143</v>
      </c>
      <c r="F1023" t="s">
        <v>212</v>
      </c>
      <c r="G1023">
        <v>1</v>
      </c>
      <c r="H1023" t="s">
        <v>18</v>
      </c>
      <c r="I1023" t="s">
        <v>16</v>
      </c>
      <c r="J1023" t="s">
        <v>239</v>
      </c>
      <c r="L1023" t="s">
        <v>18</v>
      </c>
      <c r="M1023" t="s">
        <v>2144</v>
      </c>
    </row>
    <row r="1024" spans="2:13" x14ac:dyDescent="0.25">
      <c r="B1024" t="s">
        <v>2101</v>
      </c>
      <c r="C1024">
        <v>17070312</v>
      </c>
      <c r="D1024" t="str">
        <f>"6931234572718"</f>
        <v>6931234572718</v>
      </c>
      <c r="E1024" t="s">
        <v>2145</v>
      </c>
      <c r="F1024" t="s">
        <v>1045</v>
      </c>
      <c r="G1024">
        <v>1</v>
      </c>
      <c r="H1024" t="s">
        <v>18</v>
      </c>
      <c r="I1024" t="s">
        <v>16</v>
      </c>
      <c r="J1024" t="s">
        <v>239</v>
      </c>
      <c r="L1024" t="s">
        <v>18</v>
      </c>
      <c r="M1024" t="s">
        <v>2146</v>
      </c>
    </row>
    <row r="1025" spans="2:13" x14ac:dyDescent="0.25">
      <c r="B1025" t="s">
        <v>2101</v>
      </c>
      <c r="C1025">
        <v>17070443</v>
      </c>
      <c r="D1025" t="str">
        <f>"6931234572848"</f>
        <v>6931234572848</v>
      </c>
      <c r="E1025" t="s">
        <v>2147</v>
      </c>
      <c r="F1025" t="s">
        <v>109</v>
      </c>
      <c r="G1025">
        <v>0</v>
      </c>
      <c r="H1025" t="s">
        <v>18</v>
      </c>
      <c r="I1025" t="s">
        <v>754</v>
      </c>
      <c r="J1025" t="s">
        <v>239</v>
      </c>
      <c r="K1025" s="1">
        <v>42885</v>
      </c>
      <c r="L1025" t="s">
        <v>18</v>
      </c>
      <c r="M1025" t="s">
        <v>2148</v>
      </c>
    </row>
    <row r="1026" spans="2:13" x14ac:dyDescent="0.25">
      <c r="B1026" t="s">
        <v>2101</v>
      </c>
      <c r="C1026">
        <v>17070591</v>
      </c>
      <c r="D1026" t="str">
        <f>"6931234572992"</f>
        <v>6931234572992</v>
      </c>
      <c r="E1026" t="s">
        <v>2149</v>
      </c>
      <c r="F1026" t="s">
        <v>389</v>
      </c>
      <c r="G1026">
        <v>1</v>
      </c>
      <c r="H1026" t="s">
        <v>18</v>
      </c>
      <c r="I1026" t="s">
        <v>16</v>
      </c>
      <c r="J1026" t="s">
        <v>239</v>
      </c>
      <c r="L1026" t="s">
        <v>18</v>
      </c>
      <c r="M1026" t="s">
        <v>1422</v>
      </c>
    </row>
    <row r="1027" spans="2:13" x14ac:dyDescent="0.25">
      <c r="B1027" t="s">
        <v>2101</v>
      </c>
      <c r="C1027">
        <v>17070603</v>
      </c>
      <c r="D1027" t="str">
        <f>"6931234573005"</f>
        <v>6931234573005</v>
      </c>
      <c r="E1027" t="s">
        <v>2150</v>
      </c>
      <c r="F1027" t="s">
        <v>34</v>
      </c>
      <c r="G1027">
        <v>1</v>
      </c>
      <c r="H1027" t="s">
        <v>18</v>
      </c>
      <c r="I1027" t="s">
        <v>16</v>
      </c>
      <c r="J1027" t="s">
        <v>239</v>
      </c>
      <c r="L1027" t="s">
        <v>18</v>
      </c>
      <c r="M1027" t="s">
        <v>1965</v>
      </c>
    </row>
    <row r="1028" spans="2:13" x14ac:dyDescent="0.25">
      <c r="B1028" t="s">
        <v>2101</v>
      </c>
      <c r="C1028">
        <v>17070654</v>
      </c>
      <c r="D1028" t="str">
        <f>"6931234573050"</f>
        <v>6931234573050</v>
      </c>
      <c r="E1028" t="s">
        <v>2151</v>
      </c>
      <c r="F1028" t="s">
        <v>205</v>
      </c>
      <c r="G1028">
        <v>1</v>
      </c>
      <c r="H1028" t="s">
        <v>18</v>
      </c>
      <c r="I1028" t="s">
        <v>16</v>
      </c>
      <c r="J1028" t="s">
        <v>239</v>
      </c>
      <c r="L1028" t="s">
        <v>18</v>
      </c>
      <c r="M1028" t="s">
        <v>1965</v>
      </c>
    </row>
    <row r="1029" spans="2:13" x14ac:dyDescent="0.25">
      <c r="B1029" t="s">
        <v>2101</v>
      </c>
      <c r="C1029">
        <v>17070662</v>
      </c>
      <c r="D1029" t="str">
        <f>"6931234573067"</f>
        <v>6931234573067</v>
      </c>
      <c r="E1029" t="s">
        <v>2152</v>
      </c>
      <c r="F1029" t="s">
        <v>410</v>
      </c>
      <c r="G1029">
        <v>1</v>
      </c>
      <c r="H1029" t="s">
        <v>18</v>
      </c>
      <c r="I1029" t="s">
        <v>16</v>
      </c>
      <c r="J1029" t="s">
        <v>239</v>
      </c>
      <c r="L1029" t="s">
        <v>18</v>
      </c>
      <c r="M1029" t="s">
        <v>2153</v>
      </c>
    </row>
    <row r="1030" spans="2:13" x14ac:dyDescent="0.25">
      <c r="B1030" t="s">
        <v>2101</v>
      </c>
      <c r="C1030">
        <v>17070671</v>
      </c>
      <c r="D1030" t="str">
        <f>"6931234573074"</f>
        <v>6931234573074</v>
      </c>
      <c r="E1030" t="s">
        <v>2154</v>
      </c>
      <c r="F1030" t="s">
        <v>788</v>
      </c>
      <c r="G1030">
        <v>1</v>
      </c>
      <c r="H1030" t="s">
        <v>18</v>
      </c>
      <c r="I1030" t="s">
        <v>16</v>
      </c>
      <c r="J1030" t="s">
        <v>239</v>
      </c>
      <c r="L1030" t="s">
        <v>18</v>
      </c>
      <c r="M1030" t="s">
        <v>2125</v>
      </c>
    </row>
    <row r="1031" spans="2:13" x14ac:dyDescent="0.25">
      <c r="B1031" t="s">
        <v>2101</v>
      </c>
      <c r="C1031">
        <v>17070689</v>
      </c>
      <c r="D1031" t="str">
        <f>"6931234573081"</f>
        <v>6931234573081</v>
      </c>
      <c r="E1031" t="s">
        <v>2155</v>
      </c>
      <c r="F1031" t="s">
        <v>242</v>
      </c>
      <c r="G1031">
        <v>1</v>
      </c>
      <c r="H1031" t="s">
        <v>18</v>
      </c>
      <c r="I1031" t="s">
        <v>16</v>
      </c>
      <c r="J1031" t="s">
        <v>239</v>
      </c>
      <c r="L1031" t="s">
        <v>18</v>
      </c>
      <c r="M1031" t="s">
        <v>2156</v>
      </c>
    </row>
    <row r="1032" spans="2:13" x14ac:dyDescent="0.25">
      <c r="B1032" t="s">
        <v>2101</v>
      </c>
      <c r="C1032">
        <v>17070697</v>
      </c>
      <c r="D1032" t="str">
        <f>"6931234573098"</f>
        <v>6931234573098</v>
      </c>
      <c r="E1032" t="s">
        <v>2157</v>
      </c>
      <c r="F1032" t="s">
        <v>185</v>
      </c>
      <c r="G1032">
        <v>1</v>
      </c>
      <c r="H1032" t="s">
        <v>18</v>
      </c>
      <c r="I1032" t="s">
        <v>16</v>
      </c>
      <c r="J1032" t="s">
        <v>239</v>
      </c>
      <c r="L1032" t="s">
        <v>18</v>
      </c>
      <c r="M1032" t="s">
        <v>1422</v>
      </c>
    </row>
    <row r="1033" spans="2:13" x14ac:dyDescent="0.25">
      <c r="B1033" t="s">
        <v>2101</v>
      </c>
      <c r="C1033">
        <v>17070700</v>
      </c>
      <c r="D1033" t="str">
        <f>"6931234573104"</f>
        <v>6931234573104</v>
      </c>
      <c r="E1033" t="s">
        <v>2158</v>
      </c>
      <c r="F1033" t="s">
        <v>649</v>
      </c>
      <c r="G1033">
        <v>1</v>
      </c>
      <c r="H1033" t="s">
        <v>18</v>
      </c>
      <c r="I1033" t="s">
        <v>16</v>
      </c>
      <c r="J1033" t="s">
        <v>239</v>
      </c>
      <c r="L1033" t="s">
        <v>18</v>
      </c>
      <c r="M1033" t="s">
        <v>1965</v>
      </c>
    </row>
    <row r="1034" spans="2:13" x14ac:dyDescent="0.25">
      <c r="B1034" t="s">
        <v>2101</v>
      </c>
      <c r="C1034">
        <v>17070718</v>
      </c>
      <c r="D1034" t="str">
        <f>"6931234573111"</f>
        <v>6931234573111</v>
      </c>
      <c r="E1034" t="s">
        <v>2159</v>
      </c>
      <c r="F1034" t="s">
        <v>310</v>
      </c>
      <c r="G1034">
        <v>1</v>
      </c>
      <c r="H1034" t="s">
        <v>18</v>
      </c>
      <c r="I1034" t="s">
        <v>16</v>
      </c>
      <c r="J1034" t="s">
        <v>239</v>
      </c>
      <c r="L1034" t="s">
        <v>18</v>
      </c>
      <c r="M1034" t="s">
        <v>2153</v>
      </c>
    </row>
    <row r="1035" spans="2:13" x14ac:dyDescent="0.25">
      <c r="B1035" t="s">
        <v>2101</v>
      </c>
      <c r="C1035">
        <v>17070726</v>
      </c>
      <c r="D1035" t="str">
        <f>"6931234573128"</f>
        <v>6931234573128</v>
      </c>
      <c r="E1035" t="s">
        <v>2160</v>
      </c>
      <c r="F1035" t="s">
        <v>277</v>
      </c>
      <c r="G1035">
        <v>1</v>
      </c>
      <c r="H1035" t="s">
        <v>18</v>
      </c>
      <c r="I1035" t="s">
        <v>16</v>
      </c>
      <c r="J1035" t="s">
        <v>239</v>
      </c>
      <c r="L1035" t="s">
        <v>18</v>
      </c>
      <c r="M1035" t="s">
        <v>2125</v>
      </c>
    </row>
    <row r="1036" spans="2:13" x14ac:dyDescent="0.25">
      <c r="B1036" t="s">
        <v>2101</v>
      </c>
      <c r="C1036">
        <v>17070734</v>
      </c>
      <c r="D1036" t="str">
        <f>"6931234573135"</f>
        <v>6931234573135</v>
      </c>
      <c r="E1036" t="s">
        <v>2161</v>
      </c>
      <c r="F1036" t="s">
        <v>60</v>
      </c>
      <c r="G1036">
        <v>1</v>
      </c>
      <c r="H1036" t="s">
        <v>18</v>
      </c>
      <c r="I1036" t="s">
        <v>16</v>
      </c>
      <c r="J1036" t="s">
        <v>239</v>
      </c>
      <c r="L1036" t="s">
        <v>18</v>
      </c>
      <c r="M1036" t="s">
        <v>2156</v>
      </c>
    </row>
    <row r="1037" spans="2:13" x14ac:dyDescent="0.25">
      <c r="B1037" t="s">
        <v>2101</v>
      </c>
      <c r="C1037">
        <v>17070742</v>
      </c>
      <c r="D1037" t="str">
        <f>"6931234573142"</f>
        <v>6931234573142</v>
      </c>
      <c r="E1037" t="s">
        <v>2162</v>
      </c>
      <c r="F1037" t="s">
        <v>1524</v>
      </c>
      <c r="G1037">
        <v>1</v>
      </c>
      <c r="H1037" t="s">
        <v>18</v>
      </c>
      <c r="I1037" t="s">
        <v>16</v>
      </c>
      <c r="J1037" t="s">
        <v>239</v>
      </c>
      <c r="L1037" t="s">
        <v>18</v>
      </c>
      <c r="M1037" t="s">
        <v>1977</v>
      </c>
    </row>
    <row r="1038" spans="2:13" x14ac:dyDescent="0.25">
      <c r="B1038" t="s">
        <v>2101</v>
      </c>
      <c r="C1038">
        <v>17070751</v>
      </c>
      <c r="D1038" t="str">
        <f>"6931234573159"</f>
        <v>6931234573159</v>
      </c>
      <c r="E1038" t="s">
        <v>2163</v>
      </c>
      <c r="F1038" t="s">
        <v>252</v>
      </c>
      <c r="G1038">
        <v>1</v>
      </c>
      <c r="H1038" t="s">
        <v>18</v>
      </c>
      <c r="I1038" t="s">
        <v>16</v>
      </c>
      <c r="J1038" t="s">
        <v>239</v>
      </c>
      <c r="L1038" t="s">
        <v>18</v>
      </c>
      <c r="M1038" t="s">
        <v>2164</v>
      </c>
    </row>
    <row r="1039" spans="2:13" x14ac:dyDescent="0.25">
      <c r="B1039" t="s">
        <v>2101</v>
      </c>
      <c r="C1039">
        <v>17420141</v>
      </c>
      <c r="D1039" t="str">
        <f>"4627112610451"</f>
        <v>4627112610451</v>
      </c>
      <c r="E1039" t="s">
        <v>2165</v>
      </c>
      <c r="F1039" t="s">
        <v>1934</v>
      </c>
      <c r="G1039">
        <v>1</v>
      </c>
      <c r="H1039" t="s">
        <v>18</v>
      </c>
      <c r="I1039" t="s">
        <v>16</v>
      </c>
      <c r="J1039" t="s">
        <v>892</v>
      </c>
      <c r="L1039" t="s">
        <v>18</v>
      </c>
      <c r="M1039" t="s">
        <v>2148</v>
      </c>
    </row>
    <row r="1040" spans="2:13" x14ac:dyDescent="0.25">
      <c r="B1040" t="s">
        <v>2101</v>
      </c>
      <c r="C1040">
        <v>17420175</v>
      </c>
      <c r="D1040" t="str">
        <f>"4627112610482"</f>
        <v>4627112610482</v>
      </c>
      <c r="E1040" t="s">
        <v>2166</v>
      </c>
      <c r="F1040" t="s">
        <v>268</v>
      </c>
      <c r="G1040">
        <v>1</v>
      </c>
      <c r="H1040" t="s">
        <v>18</v>
      </c>
      <c r="I1040" t="s">
        <v>16</v>
      </c>
      <c r="J1040" t="s">
        <v>892</v>
      </c>
      <c r="L1040" t="s">
        <v>18</v>
      </c>
      <c r="M1040" t="s">
        <v>2167</v>
      </c>
    </row>
    <row r="1041" spans="2:13" x14ac:dyDescent="0.25">
      <c r="B1041" t="s">
        <v>2101</v>
      </c>
      <c r="C1041">
        <v>17420183</v>
      </c>
      <c r="D1041" t="str">
        <f>"4627112610697"</f>
        <v>4627112610697</v>
      </c>
      <c r="E1041" t="s">
        <v>2168</v>
      </c>
      <c r="F1041" t="s">
        <v>389</v>
      </c>
      <c r="G1041">
        <v>1</v>
      </c>
      <c r="H1041" t="s">
        <v>18</v>
      </c>
      <c r="I1041" t="s">
        <v>16</v>
      </c>
      <c r="J1041" t="s">
        <v>892</v>
      </c>
      <c r="L1041" t="s">
        <v>18</v>
      </c>
      <c r="M1041" t="s">
        <v>1965</v>
      </c>
    </row>
    <row r="1042" spans="2:13" x14ac:dyDescent="0.25">
      <c r="B1042" t="s">
        <v>2101</v>
      </c>
      <c r="C1042">
        <v>17420191</v>
      </c>
      <c r="D1042" t="str">
        <f>"4627112610499"</f>
        <v>4627112610499</v>
      </c>
      <c r="E1042" t="s">
        <v>2169</v>
      </c>
      <c r="F1042" t="s">
        <v>170</v>
      </c>
      <c r="G1042">
        <v>1</v>
      </c>
      <c r="H1042" t="s">
        <v>18</v>
      </c>
      <c r="I1042" t="s">
        <v>16</v>
      </c>
      <c r="J1042" t="s">
        <v>892</v>
      </c>
      <c r="L1042" t="s">
        <v>18</v>
      </c>
      <c r="M1042" t="s">
        <v>2148</v>
      </c>
    </row>
    <row r="1043" spans="2:13" x14ac:dyDescent="0.25">
      <c r="B1043" t="s">
        <v>2101</v>
      </c>
      <c r="C1043">
        <v>17420204</v>
      </c>
      <c r="D1043" t="str">
        <f>"4627112610505"</f>
        <v>4627112610505</v>
      </c>
      <c r="E1043" t="s">
        <v>2170</v>
      </c>
      <c r="F1043" t="s">
        <v>1934</v>
      </c>
      <c r="G1043">
        <v>1</v>
      </c>
      <c r="H1043" t="s">
        <v>18</v>
      </c>
      <c r="I1043" t="s">
        <v>16</v>
      </c>
      <c r="J1043" t="s">
        <v>892</v>
      </c>
      <c r="L1043" t="s">
        <v>18</v>
      </c>
      <c r="M1043" t="s">
        <v>2148</v>
      </c>
    </row>
    <row r="1044" spans="2:13" x14ac:dyDescent="0.25">
      <c r="B1044" t="s">
        <v>2101</v>
      </c>
      <c r="C1044">
        <v>17420247</v>
      </c>
      <c r="D1044" t="str">
        <f>"4627112610871"</f>
        <v>4627112610871</v>
      </c>
      <c r="E1044" t="s">
        <v>2171</v>
      </c>
      <c r="F1044" t="s">
        <v>847</v>
      </c>
      <c r="G1044">
        <v>1</v>
      </c>
      <c r="H1044" t="s">
        <v>18</v>
      </c>
      <c r="I1044" t="s">
        <v>16</v>
      </c>
      <c r="J1044" t="s">
        <v>892</v>
      </c>
      <c r="L1044" t="s">
        <v>18</v>
      </c>
      <c r="M1044" t="s">
        <v>2148</v>
      </c>
    </row>
    <row r="1045" spans="2:13" x14ac:dyDescent="0.25">
      <c r="B1045" t="s">
        <v>2101</v>
      </c>
      <c r="C1045">
        <v>17420301</v>
      </c>
      <c r="D1045" t="str">
        <f>"4627112610543"</f>
        <v>4627112610543</v>
      </c>
      <c r="E1045" t="s">
        <v>2172</v>
      </c>
      <c r="F1045" t="s">
        <v>328</v>
      </c>
      <c r="G1045">
        <v>1</v>
      </c>
      <c r="H1045" t="s">
        <v>18</v>
      </c>
      <c r="I1045" t="s">
        <v>16</v>
      </c>
      <c r="J1045" t="s">
        <v>892</v>
      </c>
      <c r="L1045" t="s">
        <v>18</v>
      </c>
      <c r="M1045" t="s">
        <v>2148</v>
      </c>
    </row>
    <row r="1046" spans="2:13" x14ac:dyDescent="0.25">
      <c r="B1046" t="s">
        <v>2101</v>
      </c>
      <c r="C1046">
        <v>17420319</v>
      </c>
      <c r="D1046" t="str">
        <f>"4627112610550"</f>
        <v>4627112610550</v>
      </c>
      <c r="E1046" t="s">
        <v>2173</v>
      </c>
      <c r="F1046" t="s">
        <v>2144</v>
      </c>
      <c r="G1046">
        <v>1</v>
      </c>
      <c r="H1046" t="s">
        <v>18</v>
      </c>
      <c r="I1046" t="s">
        <v>16</v>
      </c>
      <c r="J1046" t="s">
        <v>892</v>
      </c>
      <c r="L1046" t="s">
        <v>18</v>
      </c>
      <c r="M1046" t="s">
        <v>2174</v>
      </c>
    </row>
    <row r="1047" spans="2:13" x14ac:dyDescent="0.25">
      <c r="B1047" t="s">
        <v>2101</v>
      </c>
      <c r="C1047">
        <v>17420327</v>
      </c>
      <c r="D1047" t="str">
        <f>"4627112610581"</f>
        <v>4627112610581</v>
      </c>
      <c r="E1047" t="s">
        <v>2175</v>
      </c>
      <c r="F1047" t="s">
        <v>759</v>
      </c>
      <c r="G1047">
        <v>1</v>
      </c>
      <c r="H1047" t="s">
        <v>18</v>
      </c>
      <c r="I1047" t="s">
        <v>16</v>
      </c>
      <c r="J1047" t="s">
        <v>892</v>
      </c>
      <c r="L1047" t="s">
        <v>18</v>
      </c>
      <c r="M1047" t="s">
        <v>2167</v>
      </c>
    </row>
    <row r="1048" spans="2:13" x14ac:dyDescent="0.25">
      <c r="B1048" t="s">
        <v>2101</v>
      </c>
      <c r="C1048">
        <v>17420335</v>
      </c>
      <c r="D1048" t="str">
        <f>"4627112610598"</f>
        <v>4627112610598</v>
      </c>
      <c r="E1048" t="s">
        <v>2176</v>
      </c>
      <c r="F1048" t="s">
        <v>1239</v>
      </c>
      <c r="G1048">
        <v>1</v>
      </c>
      <c r="H1048" t="s">
        <v>18</v>
      </c>
      <c r="I1048" t="s">
        <v>16</v>
      </c>
      <c r="J1048" t="s">
        <v>892</v>
      </c>
      <c r="L1048" t="s">
        <v>18</v>
      </c>
      <c r="M1048" t="s">
        <v>1965</v>
      </c>
    </row>
    <row r="1049" spans="2:13" x14ac:dyDescent="0.25">
      <c r="B1049" t="s">
        <v>2101</v>
      </c>
      <c r="C1049">
        <v>17420343</v>
      </c>
      <c r="D1049" t="str">
        <f>"4627112610604"</f>
        <v>4627112610604</v>
      </c>
      <c r="E1049" t="s">
        <v>2177</v>
      </c>
      <c r="F1049" t="s">
        <v>485</v>
      </c>
      <c r="G1049">
        <v>1</v>
      </c>
      <c r="H1049" t="s">
        <v>18</v>
      </c>
      <c r="I1049" t="s">
        <v>16</v>
      </c>
      <c r="J1049" t="s">
        <v>892</v>
      </c>
      <c r="L1049" t="s">
        <v>18</v>
      </c>
      <c r="M1049" t="s">
        <v>2148</v>
      </c>
    </row>
    <row r="1050" spans="2:13" x14ac:dyDescent="0.25">
      <c r="B1050" t="s">
        <v>2101</v>
      </c>
      <c r="C1050">
        <v>17420351</v>
      </c>
      <c r="D1050" t="str">
        <f>"4627112610611"</f>
        <v>4627112610611</v>
      </c>
      <c r="E1050" t="s">
        <v>2178</v>
      </c>
      <c r="F1050" t="s">
        <v>1960</v>
      </c>
      <c r="G1050">
        <v>1</v>
      </c>
      <c r="H1050" t="s">
        <v>18</v>
      </c>
      <c r="I1050" t="s">
        <v>16</v>
      </c>
      <c r="J1050" t="s">
        <v>892</v>
      </c>
      <c r="L1050" t="s">
        <v>18</v>
      </c>
      <c r="M1050" t="s">
        <v>2148</v>
      </c>
    </row>
    <row r="1051" spans="2:13" x14ac:dyDescent="0.25">
      <c r="B1051" t="s">
        <v>2101</v>
      </c>
      <c r="C1051">
        <v>17420360</v>
      </c>
      <c r="D1051" t="str">
        <f>"4627112610628"</f>
        <v>4627112610628</v>
      </c>
      <c r="E1051" t="s">
        <v>2179</v>
      </c>
      <c r="F1051" t="s">
        <v>277</v>
      </c>
      <c r="G1051">
        <v>1</v>
      </c>
      <c r="H1051" t="s">
        <v>18</v>
      </c>
      <c r="I1051" t="s">
        <v>16</v>
      </c>
      <c r="J1051" t="s">
        <v>892</v>
      </c>
      <c r="L1051" t="s">
        <v>18</v>
      </c>
      <c r="M1051" t="s">
        <v>2174</v>
      </c>
    </row>
    <row r="1052" spans="2:13" x14ac:dyDescent="0.25">
      <c r="B1052" t="s">
        <v>2101</v>
      </c>
      <c r="C1052">
        <v>17420378</v>
      </c>
      <c r="D1052" t="str">
        <f>"4627112610635"</f>
        <v>4627112610635</v>
      </c>
      <c r="E1052" t="s">
        <v>2180</v>
      </c>
      <c r="F1052" t="s">
        <v>295</v>
      </c>
      <c r="G1052">
        <v>1</v>
      </c>
      <c r="H1052" t="s">
        <v>18</v>
      </c>
      <c r="I1052" t="s">
        <v>16</v>
      </c>
      <c r="J1052" t="s">
        <v>892</v>
      </c>
      <c r="L1052" t="s">
        <v>18</v>
      </c>
      <c r="M1052" t="s">
        <v>2167</v>
      </c>
    </row>
    <row r="1053" spans="2:13" x14ac:dyDescent="0.25">
      <c r="B1053" t="s">
        <v>2101</v>
      </c>
      <c r="C1053">
        <v>17420386</v>
      </c>
      <c r="D1053" t="str">
        <f>"4627112610642"</f>
        <v>4627112610642</v>
      </c>
      <c r="E1053" t="s">
        <v>2181</v>
      </c>
      <c r="F1053" t="s">
        <v>60</v>
      </c>
      <c r="G1053">
        <v>1</v>
      </c>
      <c r="H1053" t="s">
        <v>18</v>
      </c>
      <c r="I1053" t="s">
        <v>16</v>
      </c>
      <c r="J1053" t="s">
        <v>892</v>
      </c>
      <c r="L1053" t="s">
        <v>18</v>
      </c>
      <c r="M1053" t="s">
        <v>1965</v>
      </c>
    </row>
    <row r="1054" spans="2:13" x14ac:dyDescent="0.25">
      <c r="B1054" t="s">
        <v>2101</v>
      </c>
      <c r="C1054">
        <v>17420394</v>
      </c>
      <c r="D1054" t="str">
        <f>"4627112610659"</f>
        <v>4627112610659</v>
      </c>
      <c r="E1054" t="s">
        <v>2182</v>
      </c>
      <c r="F1054" t="s">
        <v>165</v>
      </c>
      <c r="G1054">
        <v>1</v>
      </c>
      <c r="H1054" t="s">
        <v>18</v>
      </c>
      <c r="I1054" t="s">
        <v>16</v>
      </c>
      <c r="J1054" t="s">
        <v>892</v>
      </c>
      <c r="L1054" t="s">
        <v>18</v>
      </c>
      <c r="M1054" t="s">
        <v>2148</v>
      </c>
    </row>
    <row r="1055" spans="2:13" x14ac:dyDescent="0.25">
      <c r="B1055" t="s">
        <v>2101</v>
      </c>
      <c r="C1055">
        <v>17420415</v>
      </c>
      <c r="D1055" t="str">
        <f>"4627112610673"</f>
        <v>4627112610673</v>
      </c>
      <c r="E1055" t="s">
        <v>2183</v>
      </c>
      <c r="F1055" t="s">
        <v>406</v>
      </c>
      <c r="G1055">
        <v>1</v>
      </c>
      <c r="H1055" t="s">
        <v>18</v>
      </c>
      <c r="I1055" t="s">
        <v>16</v>
      </c>
      <c r="J1055" t="s">
        <v>892</v>
      </c>
      <c r="L1055" t="s">
        <v>18</v>
      </c>
      <c r="M1055" t="s">
        <v>2174</v>
      </c>
    </row>
    <row r="1056" spans="2:13" x14ac:dyDescent="0.25">
      <c r="B1056" t="s">
        <v>2101</v>
      </c>
      <c r="C1056">
        <v>17497383</v>
      </c>
      <c r="D1056" t="str">
        <f>"6931234573210"</f>
        <v>6931234573210</v>
      </c>
      <c r="E1056" t="s">
        <v>2184</v>
      </c>
      <c r="F1056" t="s">
        <v>406</v>
      </c>
      <c r="G1056">
        <v>1</v>
      </c>
      <c r="H1056" t="s">
        <v>18</v>
      </c>
      <c r="I1056" t="s">
        <v>16</v>
      </c>
      <c r="J1056" t="s">
        <v>239</v>
      </c>
      <c r="L1056" t="s">
        <v>18</v>
      </c>
      <c r="M1056" t="s">
        <v>2185</v>
      </c>
    </row>
    <row r="1057" spans="2:13" x14ac:dyDescent="0.25">
      <c r="B1057" t="s">
        <v>2101</v>
      </c>
      <c r="C1057">
        <v>17497391</v>
      </c>
      <c r="D1057" t="str">
        <f>"6931234573227"</f>
        <v>6931234573227</v>
      </c>
      <c r="E1057" t="s">
        <v>2186</v>
      </c>
      <c r="F1057" t="s">
        <v>310</v>
      </c>
      <c r="G1057">
        <v>1</v>
      </c>
      <c r="H1057" t="s">
        <v>18</v>
      </c>
      <c r="I1057" t="s">
        <v>16</v>
      </c>
      <c r="J1057" t="s">
        <v>239</v>
      </c>
      <c r="L1057" t="s">
        <v>18</v>
      </c>
      <c r="M1057" t="s">
        <v>1731</v>
      </c>
    </row>
    <row r="1058" spans="2:13" x14ac:dyDescent="0.25">
      <c r="B1058" t="s">
        <v>2101</v>
      </c>
      <c r="C1058">
        <v>17497404</v>
      </c>
      <c r="D1058" t="str">
        <f>"6931234573234"</f>
        <v>6931234573234</v>
      </c>
      <c r="E1058" t="s">
        <v>2187</v>
      </c>
      <c r="F1058" t="s">
        <v>310</v>
      </c>
      <c r="G1058">
        <v>1</v>
      </c>
      <c r="H1058" t="s">
        <v>18</v>
      </c>
      <c r="I1058" t="s">
        <v>16</v>
      </c>
      <c r="J1058" t="s">
        <v>239</v>
      </c>
      <c r="L1058" t="s">
        <v>18</v>
      </c>
      <c r="M1058" t="s">
        <v>1018</v>
      </c>
    </row>
    <row r="1059" spans="2:13" x14ac:dyDescent="0.25">
      <c r="B1059" t="s">
        <v>2101</v>
      </c>
      <c r="C1059">
        <v>17497412</v>
      </c>
      <c r="D1059" t="str">
        <f>"6931234573241"</f>
        <v>6931234573241</v>
      </c>
      <c r="E1059" t="s">
        <v>2188</v>
      </c>
      <c r="F1059" t="s">
        <v>491</v>
      </c>
      <c r="G1059">
        <v>1</v>
      </c>
      <c r="H1059" t="s">
        <v>18</v>
      </c>
      <c r="I1059" t="s">
        <v>16</v>
      </c>
      <c r="J1059" t="s">
        <v>239</v>
      </c>
      <c r="L1059" t="s">
        <v>18</v>
      </c>
      <c r="M1059" t="s">
        <v>2189</v>
      </c>
    </row>
    <row r="1060" spans="2:13" x14ac:dyDescent="0.25">
      <c r="B1060" t="s">
        <v>2101</v>
      </c>
      <c r="C1060">
        <v>17497421</v>
      </c>
      <c r="D1060" t="str">
        <f>"6931234573258"</f>
        <v>6931234573258</v>
      </c>
      <c r="E1060" t="s">
        <v>2190</v>
      </c>
      <c r="F1060" t="s">
        <v>1317</v>
      </c>
      <c r="G1060">
        <v>1</v>
      </c>
      <c r="H1060" t="s">
        <v>18</v>
      </c>
      <c r="I1060" t="s">
        <v>16</v>
      </c>
      <c r="J1060" t="s">
        <v>239</v>
      </c>
      <c r="L1060" t="s">
        <v>18</v>
      </c>
      <c r="M1060" t="s">
        <v>1731</v>
      </c>
    </row>
    <row r="1061" spans="2:13" x14ac:dyDescent="0.25">
      <c r="B1061" t="s">
        <v>2101</v>
      </c>
      <c r="C1061">
        <v>17497439</v>
      </c>
      <c r="D1061" t="str">
        <f>"6931234573265"</f>
        <v>6931234573265</v>
      </c>
      <c r="E1061" t="s">
        <v>2191</v>
      </c>
      <c r="F1061" t="s">
        <v>114</v>
      </c>
      <c r="G1061">
        <v>1</v>
      </c>
      <c r="H1061" t="s">
        <v>18</v>
      </c>
      <c r="I1061" t="s">
        <v>16</v>
      </c>
      <c r="J1061" t="s">
        <v>239</v>
      </c>
      <c r="L1061" t="s">
        <v>18</v>
      </c>
      <c r="M1061" t="s">
        <v>2185</v>
      </c>
    </row>
    <row r="1062" spans="2:13" x14ac:dyDescent="0.25">
      <c r="B1062" t="s">
        <v>2101</v>
      </c>
      <c r="C1062">
        <v>17497447</v>
      </c>
      <c r="D1062" t="str">
        <f>"6931234573272"</f>
        <v>6931234573272</v>
      </c>
      <c r="E1062" t="s">
        <v>2192</v>
      </c>
      <c r="F1062" t="s">
        <v>188</v>
      </c>
      <c r="G1062">
        <v>1</v>
      </c>
      <c r="H1062" t="s">
        <v>18</v>
      </c>
      <c r="I1062" t="s">
        <v>16</v>
      </c>
      <c r="J1062" t="s">
        <v>239</v>
      </c>
      <c r="L1062" t="s">
        <v>18</v>
      </c>
      <c r="M1062" t="s">
        <v>1731</v>
      </c>
    </row>
    <row r="1063" spans="2:13" x14ac:dyDescent="0.25">
      <c r="B1063" t="s">
        <v>2101</v>
      </c>
      <c r="C1063">
        <v>17497455</v>
      </c>
      <c r="D1063" t="str">
        <f>"6931234573289"</f>
        <v>6931234573289</v>
      </c>
      <c r="E1063" t="s">
        <v>2193</v>
      </c>
      <c r="F1063" t="s">
        <v>413</v>
      </c>
      <c r="G1063">
        <v>1</v>
      </c>
      <c r="H1063" t="s">
        <v>18</v>
      </c>
      <c r="I1063" t="s">
        <v>16</v>
      </c>
      <c r="J1063" t="s">
        <v>239</v>
      </c>
      <c r="L1063" t="s">
        <v>18</v>
      </c>
      <c r="M1063" t="s">
        <v>1018</v>
      </c>
    </row>
    <row r="1064" spans="2:13" x14ac:dyDescent="0.25">
      <c r="B1064" t="s">
        <v>2101</v>
      </c>
      <c r="C1064">
        <v>17497463</v>
      </c>
      <c r="D1064" t="str">
        <f>"6931234573296"</f>
        <v>6931234573296</v>
      </c>
      <c r="E1064" t="s">
        <v>2194</v>
      </c>
      <c r="F1064" t="s">
        <v>973</v>
      </c>
      <c r="G1064">
        <v>1</v>
      </c>
      <c r="H1064" t="s">
        <v>18</v>
      </c>
      <c r="I1064" t="s">
        <v>16</v>
      </c>
      <c r="J1064" t="s">
        <v>239</v>
      </c>
      <c r="L1064" t="s">
        <v>18</v>
      </c>
      <c r="M1064" t="s">
        <v>2189</v>
      </c>
    </row>
    <row r="1065" spans="2:13" x14ac:dyDescent="0.25">
      <c r="B1065" t="s">
        <v>2101</v>
      </c>
      <c r="C1065">
        <v>17497471</v>
      </c>
      <c r="D1065" t="str">
        <f>"6931234573302"</f>
        <v>6931234573302</v>
      </c>
      <c r="E1065" t="s">
        <v>2195</v>
      </c>
      <c r="F1065" t="s">
        <v>1013</v>
      </c>
      <c r="G1065">
        <v>1</v>
      </c>
      <c r="H1065" t="s">
        <v>18</v>
      </c>
      <c r="I1065" t="s">
        <v>16</v>
      </c>
      <c r="J1065" t="s">
        <v>239</v>
      </c>
      <c r="L1065" t="s">
        <v>18</v>
      </c>
      <c r="M1065" t="s">
        <v>1731</v>
      </c>
    </row>
    <row r="1066" spans="2:13" x14ac:dyDescent="0.25">
      <c r="B1066" t="s">
        <v>2101</v>
      </c>
      <c r="C1066">
        <v>17497498</v>
      </c>
      <c r="D1066" t="str">
        <f>"6931234573326"</f>
        <v>6931234573326</v>
      </c>
      <c r="E1066" t="s">
        <v>2196</v>
      </c>
      <c r="F1066" t="s">
        <v>188</v>
      </c>
      <c r="G1066">
        <v>1</v>
      </c>
      <c r="H1066" t="s">
        <v>18</v>
      </c>
      <c r="I1066" t="s">
        <v>16</v>
      </c>
      <c r="J1066" t="s">
        <v>239</v>
      </c>
      <c r="L1066" t="s">
        <v>18</v>
      </c>
      <c r="M1066" t="s">
        <v>1731</v>
      </c>
    </row>
    <row r="1067" spans="2:13" x14ac:dyDescent="0.25">
      <c r="B1067" t="s">
        <v>2101</v>
      </c>
      <c r="C1067">
        <v>17497501</v>
      </c>
      <c r="D1067" t="str">
        <f>"6931234573333"</f>
        <v>6931234573333</v>
      </c>
      <c r="E1067" t="s">
        <v>2197</v>
      </c>
      <c r="F1067" t="s">
        <v>310</v>
      </c>
      <c r="G1067">
        <v>1</v>
      </c>
      <c r="H1067" t="s">
        <v>18</v>
      </c>
      <c r="I1067" t="s">
        <v>16</v>
      </c>
      <c r="J1067" t="s">
        <v>239</v>
      </c>
      <c r="L1067" t="s">
        <v>18</v>
      </c>
      <c r="M1067" t="s">
        <v>1018</v>
      </c>
    </row>
    <row r="1068" spans="2:13" x14ac:dyDescent="0.25">
      <c r="B1068" t="s">
        <v>2101</v>
      </c>
      <c r="C1068">
        <v>17497519</v>
      </c>
      <c r="D1068" t="str">
        <f>"6931234573340"</f>
        <v>6931234573340</v>
      </c>
      <c r="E1068" t="s">
        <v>2198</v>
      </c>
      <c r="F1068" t="s">
        <v>406</v>
      </c>
      <c r="G1068">
        <v>1</v>
      </c>
      <c r="H1068" t="s">
        <v>18</v>
      </c>
      <c r="I1068" t="s">
        <v>16</v>
      </c>
      <c r="J1068" t="s">
        <v>239</v>
      </c>
      <c r="L1068" t="s">
        <v>18</v>
      </c>
      <c r="M1068" t="s">
        <v>2189</v>
      </c>
    </row>
    <row r="1069" spans="2:13" x14ac:dyDescent="0.25">
      <c r="B1069" t="s">
        <v>2101</v>
      </c>
      <c r="C1069">
        <v>17497527</v>
      </c>
      <c r="D1069" t="str">
        <f>"6931234573357"</f>
        <v>6931234573357</v>
      </c>
      <c r="E1069" t="s">
        <v>2199</v>
      </c>
      <c r="F1069" t="s">
        <v>823</v>
      </c>
      <c r="G1069">
        <v>1</v>
      </c>
      <c r="H1069" t="s">
        <v>18</v>
      </c>
      <c r="I1069" t="s">
        <v>16</v>
      </c>
      <c r="J1069" t="s">
        <v>239</v>
      </c>
      <c r="L1069" t="s">
        <v>18</v>
      </c>
      <c r="M1069" t="s">
        <v>1731</v>
      </c>
    </row>
    <row r="1070" spans="2:13" x14ac:dyDescent="0.25">
      <c r="B1070" t="s">
        <v>2101</v>
      </c>
      <c r="C1070">
        <v>17497535</v>
      </c>
      <c r="D1070" t="str">
        <f>"6931234573364"</f>
        <v>6931234573364</v>
      </c>
      <c r="E1070" t="s">
        <v>2200</v>
      </c>
      <c r="F1070" t="s">
        <v>174</v>
      </c>
      <c r="G1070">
        <v>1</v>
      </c>
      <c r="H1070" t="s">
        <v>18</v>
      </c>
      <c r="I1070" t="s">
        <v>16</v>
      </c>
      <c r="J1070" t="s">
        <v>239</v>
      </c>
      <c r="L1070" t="s">
        <v>18</v>
      </c>
      <c r="M1070" t="s">
        <v>2185</v>
      </c>
    </row>
    <row r="1071" spans="2:13" x14ac:dyDescent="0.25">
      <c r="B1071" t="s">
        <v>2101</v>
      </c>
      <c r="C1071">
        <v>17651483</v>
      </c>
      <c r="D1071" t="str">
        <f>"4660015184421"</f>
        <v>4660015184421</v>
      </c>
      <c r="E1071" t="s">
        <v>2201</v>
      </c>
      <c r="F1071" t="s">
        <v>609</v>
      </c>
      <c r="G1071">
        <v>1</v>
      </c>
      <c r="H1071" t="s">
        <v>18</v>
      </c>
      <c r="I1071" t="s">
        <v>16</v>
      </c>
      <c r="J1071" t="s">
        <v>1556</v>
      </c>
      <c r="L1071" t="s">
        <v>18</v>
      </c>
      <c r="M1071" t="s">
        <v>1676</v>
      </c>
    </row>
    <row r="1072" spans="2:13" x14ac:dyDescent="0.25">
      <c r="B1072" t="s">
        <v>2101</v>
      </c>
      <c r="C1072">
        <v>17651512</v>
      </c>
      <c r="D1072" t="str">
        <f>"4660015184636"</f>
        <v>4660015184636</v>
      </c>
      <c r="E1072" t="s">
        <v>2202</v>
      </c>
      <c r="F1072" t="s">
        <v>1317</v>
      </c>
      <c r="G1072">
        <v>1</v>
      </c>
      <c r="H1072" t="s">
        <v>18</v>
      </c>
      <c r="I1072" t="s">
        <v>16</v>
      </c>
      <c r="J1072" t="s">
        <v>1556</v>
      </c>
      <c r="L1072" t="s">
        <v>18</v>
      </c>
      <c r="M1072" t="s">
        <v>2203</v>
      </c>
    </row>
    <row r="1073" spans="2:13" x14ac:dyDescent="0.25">
      <c r="B1073" t="s">
        <v>2101</v>
      </c>
      <c r="C1073">
        <v>17651521</v>
      </c>
      <c r="D1073" t="str">
        <f>"4660015184704"</f>
        <v>4660015184704</v>
      </c>
      <c r="E1073" t="s">
        <v>2204</v>
      </c>
      <c r="F1073" t="s">
        <v>240</v>
      </c>
      <c r="G1073">
        <v>1</v>
      </c>
      <c r="H1073" t="s">
        <v>18</v>
      </c>
      <c r="I1073" t="s">
        <v>16</v>
      </c>
      <c r="J1073" t="s">
        <v>1556</v>
      </c>
      <c r="L1073" t="s">
        <v>18</v>
      </c>
      <c r="M1073" t="s">
        <v>2167</v>
      </c>
    </row>
    <row r="1074" spans="2:13" x14ac:dyDescent="0.25">
      <c r="B1074" t="s">
        <v>2101</v>
      </c>
      <c r="C1074">
        <v>17651539</v>
      </c>
      <c r="D1074" t="str">
        <f>"4660015184438"</f>
        <v>4660015184438</v>
      </c>
      <c r="E1074" t="s">
        <v>2205</v>
      </c>
      <c r="F1074" t="s">
        <v>1960</v>
      </c>
      <c r="G1074">
        <v>1</v>
      </c>
      <c r="H1074" t="s">
        <v>18</v>
      </c>
      <c r="I1074" t="s">
        <v>16</v>
      </c>
      <c r="J1074" t="s">
        <v>1556</v>
      </c>
      <c r="L1074" t="s">
        <v>18</v>
      </c>
      <c r="M1074" t="s">
        <v>1676</v>
      </c>
    </row>
    <row r="1075" spans="2:13" x14ac:dyDescent="0.25">
      <c r="B1075" t="s">
        <v>2101</v>
      </c>
      <c r="C1075">
        <v>17651547</v>
      </c>
      <c r="D1075" t="str">
        <f>"4660015184506"</f>
        <v>4660015184506</v>
      </c>
      <c r="E1075" t="s">
        <v>2206</v>
      </c>
      <c r="F1075" t="s">
        <v>1045</v>
      </c>
      <c r="G1075">
        <v>1</v>
      </c>
      <c r="H1075" t="s">
        <v>18</v>
      </c>
      <c r="I1075" t="s">
        <v>16</v>
      </c>
      <c r="J1075" t="s">
        <v>1556</v>
      </c>
      <c r="L1075" t="s">
        <v>18</v>
      </c>
      <c r="M1075" t="s">
        <v>974</v>
      </c>
    </row>
    <row r="1076" spans="2:13" x14ac:dyDescent="0.25">
      <c r="B1076" t="s">
        <v>2101</v>
      </c>
      <c r="C1076">
        <v>17651555</v>
      </c>
      <c r="D1076" t="str">
        <f>"4660015184575"</f>
        <v>4660015184575</v>
      </c>
      <c r="E1076" t="s">
        <v>2207</v>
      </c>
      <c r="F1076" t="s">
        <v>823</v>
      </c>
      <c r="G1076">
        <v>1</v>
      </c>
      <c r="H1076" t="s">
        <v>18</v>
      </c>
      <c r="I1076" t="s">
        <v>16</v>
      </c>
      <c r="J1076" t="s">
        <v>1556</v>
      </c>
      <c r="L1076" t="s">
        <v>18</v>
      </c>
      <c r="M1076" t="s">
        <v>2208</v>
      </c>
    </row>
    <row r="1077" spans="2:13" x14ac:dyDescent="0.25">
      <c r="B1077" t="s">
        <v>2101</v>
      </c>
      <c r="C1077">
        <v>17651563</v>
      </c>
      <c r="D1077" t="str">
        <f>"4660015184643"</f>
        <v>4660015184643</v>
      </c>
      <c r="E1077" t="s">
        <v>2209</v>
      </c>
      <c r="F1077" t="s">
        <v>205</v>
      </c>
      <c r="G1077">
        <v>1</v>
      </c>
      <c r="H1077" t="s">
        <v>18</v>
      </c>
      <c r="I1077" t="s">
        <v>16</v>
      </c>
      <c r="J1077" t="s">
        <v>1556</v>
      </c>
      <c r="L1077" t="s">
        <v>18</v>
      </c>
      <c r="M1077" t="s">
        <v>2203</v>
      </c>
    </row>
    <row r="1078" spans="2:13" x14ac:dyDescent="0.25">
      <c r="B1078" t="s">
        <v>2101</v>
      </c>
      <c r="C1078">
        <v>17651571</v>
      </c>
      <c r="D1078" t="str">
        <f>"4660015184711"</f>
        <v>4660015184711</v>
      </c>
      <c r="E1078" t="s">
        <v>2210</v>
      </c>
      <c r="F1078" t="s">
        <v>240</v>
      </c>
      <c r="G1078">
        <v>1</v>
      </c>
      <c r="H1078" t="s">
        <v>18</v>
      </c>
      <c r="I1078" t="s">
        <v>16</v>
      </c>
      <c r="J1078" t="s">
        <v>1556</v>
      </c>
      <c r="L1078" t="s">
        <v>18</v>
      </c>
      <c r="M1078" t="s">
        <v>2167</v>
      </c>
    </row>
    <row r="1079" spans="2:13" x14ac:dyDescent="0.25">
      <c r="B1079" t="s">
        <v>2101</v>
      </c>
      <c r="C1079">
        <v>17651580</v>
      </c>
      <c r="D1079" t="str">
        <f>"4660015184452"</f>
        <v>4660015184452</v>
      </c>
      <c r="E1079" t="s">
        <v>2211</v>
      </c>
      <c r="F1079" t="s">
        <v>522</v>
      </c>
      <c r="G1079">
        <v>1</v>
      </c>
      <c r="H1079" t="s">
        <v>18</v>
      </c>
      <c r="I1079" t="s">
        <v>16</v>
      </c>
      <c r="J1079" t="s">
        <v>1556</v>
      </c>
      <c r="L1079" t="s">
        <v>18</v>
      </c>
      <c r="M1079" t="s">
        <v>581</v>
      </c>
    </row>
    <row r="1080" spans="2:13" x14ac:dyDescent="0.25">
      <c r="B1080" t="s">
        <v>2101</v>
      </c>
      <c r="C1080">
        <v>17651598</v>
      </c>
      <c r="D1080" t="str">
        <f>"4660015184599"</f>
        <v>4660015184599</v>
      </c>
      <c r="E1080" t="s">
        <v>2212</v>
      </c>
      <c r="F1080" t="s">
        <v>525</v>
      </c>
      <c r="G1080">
        <v>1</v>
      </c>
      <c r="H1080" t="s">
        <v>18</v>
      </c>
      <c r="I1080" t="s">
        <v>16</v>
      </c>
      <c r="J1080" t="s">
        <v>1556</v>
      </c>
      <c r="L1080" t="s">
        <v>18</v>
      </c>
      <c r="M1080" t="s">
        <v>2213</v>
      </c>
    </row>
    <row r="1081" spans="2:13" x14ac:dyDescent="0.25">
      <c r="B1081" t="s">
        <v>2101</v>
      </c>
      <c r="C1081">
        <v>17651601</v>
      </c>
      <c r="D1081" t="str">
        <f>"4660015184667"</f>
        <v>4660015184667</v>
      </c>
      <c r="E1081" t="s">
        <v>2214</v>
      </c>
      <c r="F1081" t="s">
        <v>425</v>
      </c>
      <c r="G1081">
        <v>1</v>
      </c>
      <c r="H1081" t="s">
        <v>18</v>
      </c>
      <c r="I1081" t="s">
        <v>16</v>
      </c>
      <c r="J1081" t="s">
        <v>1556</v>
      </c>
      <c r="L1081" t="s">
        <v>18</v>
      </c>
      <c r="M1081" t="s">
        <v>2215</v>
      </c>
    </row>
    <row r="1082" spans="2:13" x14ac:dyDescent="0.25">
      <c r="B1082" t="s">
        <v>2101</v>
      </c>
      <c r="C1082">
        <v>17651619</v>
      </c>
      <c r="D1082" t="str">
        <f>"4660015184735"</f>
        <v>4660015184735</v>
      </c>
      <c r="E1082" t="s">
        <v>2216</v>
      </c>
      <c r="F1082" t="s">
        <v>1025</v>
      </c>
      <c r="G1082">
        <v>1</v>
      </c>
      <c r="H1082" t="s">
        <v>18</v>
      </c>
      <c r="I1082" t="s">
        <v>16</v>
      </c>
      <c r="J1082" t="s">
        <v>1556</v>
      </c>
      <c r="L1082" t="s">
        <v>18</v>
      </c>
      <c r="M1082" t="s">
        <v>2217</v>
      </c>
    </row>
    <row r="1083" spans="2:13" x14ac:dyDescent="0.25">
      <c r="B1083" t="s">
        <v>2101</v>
      </c>
      <c r="C1083">
        <v>17767486</v>
      </c>
      <c r="D1083" t="str">
        <f>"4811244032469"</f>
        <v>4811244032469</v>
      </c>
      <c r="E1083" t="s">
        <v>2218</v>
      </c>
      <c r="F1083" t="s">
        <v>2219</v>
      </c>
      <c r="G1083">
        <v>1</v>
      </c>
      <c r="H1083" t="s">
        <v>18</v>
      </c>
      <c r="I1083" t="s">
        <v>16</v>
      </c>
      <c r="J1083" t="s">
        <v>1550</v>
      </c>
      <c r="L1083" t="s">
        <v>18</v>
      </c>
      <c r="M1083" t="s">
        <v>1168</v>
      </c>
    </row>
    <row r="1084" spans="2:13" x14ac:dyDescent="0.25">
      <c r="B1084" t="s">
        <v>2101</v>
      </c>
      <c r="C1084">
        <v>17767515</v>
      </c>
      <c r="D1084" t="str">
        <f>"4811244032056"</f>
        <v>4811244032056</v>
      </c>
      <c r="E1084" t="s">
        <v>2220</v>
      </c>
      <c r="F1084" t="s">
        <v>1079</v>
      </c>
      <c r="G1084">
        <v>1</v>
      </c>
      <c r="H1084" t="s">
        <v>18</v>
      </c>
      <c r="I1084" t="s">
        <v>16</v>
      </c>
      <c r="J1084" t="s">
        <v>1550</v>
      </c>
      <c r="L1084" t="s">
        <v>18</v>
      </c>
      <c r="M1084" t="s">
        <v>170</v>
      </c>
    </row>
    <row r="1085" spans="2:13" x14ac:dyDescent="0.25">
      <c r="B1085" t="s">
        <v>2101</v>
      </c>
      <c r="C1085">
        <v>17767523</v>
      </c>
      <c r="D1085" t="str">
        <f>"4811244031974"</f>
        <v>4811244031974</v>
      </c>
      <c r="E1085" t="s">
        <v>2221</v>
      </c>
      <c r="F1085" t="s">
        <v>2222</v>
      </c>
      <c r="G1085">
        <v>1</v>
      </c>
      <c r="H1085" t="s">
        <v>18</v>
      </c>
      <c r="I1085" t="s">
        <v>16</v>
      </c>
      <c r="J1085" t="s">
        <v>1550</v>
      </c>
      <c r="L1085" t="s">
        <v>18</v>
      </c>
      <c r="M1085" t="s">
        <v>277</v>
      </c>
    </row>
    <row r="1086" spans="2:13" x14ac:dyDescent="0.25">
      <c r="B1086" t="s">
        <v>2101</v>
      </c>
      <c r="C1086">
        <v>17767611</v>
      </c>
      <c r="D1086" t="str">
        <f>"4811244007856"</f>
        <v>4811244007856</v>
      </c>
      <c r="E1086" t="s">
        <v>2223</v>
      </c>
      <c r="F1086" t="s">
        <v>310</v>
      </c>
      <c r="G1086">
        <v>0</v>
      </c>
      <c r="H1086" t="s">
        <v>18</v>
      </c>
      <c r="I1086" t="s">
        <v>16</v>
      </c>
      <c r="J1086" t="s">
        <v>1550</v>
      </c>
      <c r="K1086" s="1">
        <v>43003</v>
      </c>
      <c r="L1086" t="s">
        <v>18</v>
      </c>
      <c r="M1086" t="s">
        <v>2224</v>
      </c>
    </row>
    <row r="1087" spans="2:13" x14ac:dyDescent="0.25">
      <c r="B1087" t="s">
        <v>2101</v>
      </c>
      <c r="C1087">
        <v>18087360</v>
      </c>
      <c r="D1087" t="str">
        <f>"4627112610970"</f>
        <v>4627112610970</v>
      </c>
      <c r="E1087" t="s">
        <v>2225</v>
      </c>
      <c r="F1087" t="s">
        <v>1025</v>
      </c>
      <c r="G1087">
        <v>1</v>
      </c>
      <c r="H1087" t="s">
        <v>18</v>
      </c>
      <c r="I1087" t="s">
        <v>16</v>
      </c>
      <c r="J1087" t="s">
        <v>892</v>
      </c>
      <c r="L1087" t="s">
        <v>18</v>
      </c>
      <c r="M1087" t="s">
        <v>2148</v>
      </c>
    </row>
    <row r="1088" spans="2:13" x14ac:dyDescent="0.25">
      <c r="B1088" t="s">
        <v>2101</v>
      </c>
      <c r="C1088">
        <v>18608621</v>
      </c>
      <c r="D1088" t="str">
        <f>"8695024033190"</f>
        <v>8695024033190</v>
      </c>
      <c r="E1088" t="s">
        <v>2226</v>
      </c>
      <c r="F1088" t="s">
        <v>310</v>
      </c>
      <c r="G1088">
        <v>1</v>
      </c>
      <c r="H1088" t="s">
        <v>18</v>
      </c>
      <c r="I1088" t="s">
        <v>16</v>
      </c>
      <c r="J1088" t="s">
        <v>1544</v>
      </c>
      <c r="L1088" t="s">
        <v>18</v>
      </c>
      <c r="M1088" t="s">
        <v>2227</v>
      </c>
    </row>
    <row r="1089" spans="2:13" x14ac:dyDescent="0.25">
      <c r="B1089" t="s">
        <v>2101</v>
      </c>
      <c r="C1089">
        <v>18608639</v>
      </c>
      <c r="D1089" t="str">
        <f>"8695024033497"</f>
        <v>8695024033497</v>
      </c>
      <c r="E1089" t="s">
        <v>2228</v>
      </c>
      <c r="F1089" t="s">
        <v>205</v>
      </c>
      <c r="G1089">
        <v>1</v>
      </c>
      <c r="H1089" t="s">
        <v>18</v>
      </c>
      <c r="I1089" t="s">
        <v>16</v>
      </c>
      <c r="J1089" t="s">
        <v>1544</v>
      </c>
      <c r="L1089" t="s">
        <v>18</v>
      </c>
      <c r="M1089" t="s">
        <v>2107</v>
      </c>
    </row>
    <row r="1090" spans="2:13" x14ac:dyDescent="0.25">
      <c r="B1090" t="s">
        <v>2101</v>
      </c>
      <c r="C1090">
        <v>18608647</v>
      </c>
      <c r="D1090" t="str">
        <f>"8695024033299"</f>
        <v>8695024033299</v>
      </c>
      <c r="E1090" t="s">
        <v>2229</v>
      </c>
      <c r="F1090" t="s">
        <v>240</v>
      </c>
      <c r="G1090">
        <v>1</v>
      </c>
      <c r="H1090" t="s">
        <v>18</v>
      </c>
      <c r="I1090" t="s">
        <v>16</v>
      </c>
      <c r="J1090" t="s">
        <v>1544</v>
      </c>
      <c r="L1090" t="s">
        <v>18</v>
      </c>
      <c r="M1090" t="s">
        <v>2230</v>
      </c>
    </row>
    <row r="1091" spans="2:13" x14ac:dyDescent="0.25">
      <c r="B1091" t="s">
        <v>2101</v>
      </c>
      <c r="C1091">
        <v>18608655</v>
      </c>
      <c r="D1091" t="str">
        <f>"8695024033398"</f>
        <v>8695024033398</v>
      </c>
      <c r="E1091" t="s">
        <v>2231</v>
      </c>
      <c r="F1091" t="s">
        <v>1016</v>
      </c>
      <c r="G1091">
        <v>1</v>
      </c>
      <c r="H1091" t="s">
        <v>18</v>
      </c>
      <c r="I1091" t="s">
        <v>16</v>
      </c>
      <c r="J1091" t="s">
        <v>1544</v>
      </c>
      <c r="L1091" t="s">
        <v>18</v>
      </c>
      <c r="M1091" t="s">
        <v>2232</v>
      </c>
    </row>
    <row r="1092" spans="2:13" x14ac:dyDescent="0.25">
      <c r="B1092" t="s">
        <v>2101</v>
      </c>
      <c r="C1092">
        <v>18608663</v>
      </c>
      <c r="D1092" t="str">
        <f>"8695024033114"</f>
        <v>8695024033114</v>
      </c>
      <c r="E1092" t="s">
        <v>2233</v>
      </c>
      <c r="F1092" t="s">
        <v>310</v>
      </c>
      <c r="G1092">
        <v>1</v>
      </c>
      <c r="H1092" t="s">
        <v>18</v>
      </c>
      <c r="I1092" t="s">
        <v>16</v>
      </c>
      <c r="J1092" t="s">
        <v>1544</v>
      </c>
      <c r="L1092" t="s">
        <v>18</v>
      </c>
      <c r="M1092" t="s">
        <v>2227</v>
      </c>
    </row>
    <row r="1093" spans="2:13" x14ac:dyDescent="0.25">
      <c r="B1093" t="s">
        <v>2101</v>
      </c>
      <c r="C1093">
        <v>18608671</v>
      </c>
      <c r="D1093" t="str">
        <f>"8695024033411"</f>
        <v>8695024033411</v>
      </c>
      <c r="E1093" t="s">
        <v>2234</v>
      </c>
      <c r="F1093" t="s">
        <v>310</v>
      </c>
      <c r="G1093">
        <v>1</v>
      </c>
      <c r="H1093" t="s">
        <v>18</v>
      </c>
      <c r="I1093" t="s">
        <v>16</v>
      </c>
      <c r="J1093" t="s">
        <v>1544</v>
      </c>
      <c r="L1093" t="s">
        <v>18</v>
      </c>
      <c r="M1093" t="s">
        <v>2107</v>
      </c>
    </row>
    <row r="1094" spans="2:13" x14ac:dyDescent="0.25">
      <c r="B1094" t="s">
        <v>2101</v>
      </c>
      <c r="C1094">
        <v>18608680</v>
      </c>
      <c r="D1094" t="str">
        <f>"8695024033213"</f>
        <v>8695024033213</v>
      </c>
      <c r="E1094" t="s">
        <v>2235</v>
      </c>
      <c r="F1094" t="s">
        <v>1016</v>
      </c>
      <c r="G1094">
        <v>1</v>
      </c>
      <c r="H1094" t="s">
        <v>18</v>
      </c>
      <c r="I1094" t="s">
        <v>16</v>
      </c>
      <c r="J1094" t="s">
        <v>1544</v>
      </c>
      <c r="L1094" t="s">
        <v>18</v>
      </c>
      <c r="M1094" t="s">
        <v>2230</v>
      </c>
    </row>
    <row r="1095" spans="2:13" x14ac:dyDescent="0.25">
      <c r="B1095" t="s">
        <v>2101</v>
      </c>
      <c r="C1095">
        <v>18608698</v>
      </c>
      <c r="D1095" t="str">
        <f>"8695024033312"</f>
        <v>8695024033312</v>
      </c>
      <c r="E1095" t="s">
        <v>2236</v>
      </c>
      <c r="F1095" t="s">
        <v>1239</v>
      </c>
      <c r="G1095">
        <v>1</v>
      </c>
      <c r="H1095" t="s">
        <v>18</v>
      </c>
      <c r="I1095" t="s">
        <v>16</v>
      </c>
      <c r="J1095" t="s">
        <v>1544</v>
      </c>
      <c r="L1095" t="s">
        <v>18</v>
      </c>
      <c r="M1095" t="s">
        <v>2232</v>
      </c>
    </row>
    <row r="1096" spans="2:13" x14ac:dyDescent="0.25">
      <c r="B1096" t="s">
        <v>2101</v>
      </c>
      <c r="C1096">
        <v>18608701</v>
      </c>
      <c r="D1096" t="str">
        <f>"8695024033169"</f>
        <v>8695024033169</v>
      </c>
      <c r="E1096" t="s">
        <v>2237</v>
      </c>
      <c r="F1096" t="s">
        <v>310</v>
      </c>
      <c r="G1096">
        <v>1</v>
      </c>
      <c r="H1096" t="s">
        <v>18</v>
      </c>
      <c r="I1096" t="s">
        <v>16</v>
      </c>
      <c r="J1096" t="s">
        <v>1544</v>
      </c>
      <c r="L1096" t="s">
        <v>18</v>
      </c>
      <c r="M1096" t="s">
        <v>2227</v>
      </c>
    </row>
    <row r="1097" spans="2:13" x14ac:dyDescent="0.25">
      <c r="B1097" t="s">
        <v>2101</v>
      </c>
      <c r="C1097">
        <v>18608719</v>
      </c>
      <c r="D1097" t="str">
        <f>"8695024033466"</f>
        <v>8695024033466</v>
      </c>
      <c r="E1097" t="s">
        <v>2238</v>
      </c>
      <c r="F1097" t="s">
        <v>310</v>
      </c>
      <c r="G1097">
        <v>1</v>
      </c>
      <c r="H1097" t="s">
        <v>18</v>
      </c>
      <c r="I1097" t="s">
        <v>16</v>
      </c>
      <c r="J1097" t="s">
        <v>1544</v>
      </c>
      <c r="L1097" t="s">
        <v>18</v>
      </c>
      <c r="M1097" t="s">
        <v>2107</v>
      </c>
    </row>
    <row r="1098" spans="2:13" x14ac:dyDescent="0.25">
      <c r="B1098" t="s">
        <v>2101</v>
      </c>
      <c r="C1098">
        <v>18608727</v>
      </c>
      <c r="D1098" t="str">
        <f>"8695024033268"</f>
        <v>8695024033268</v>
      </c>
      <c r="E1098" t="s">
        <v>2239</v>
      </c>
      <c r="F1098" t="s">
        <v>1016</v>
      </c>
      <c r="G1098">
        <v>1</v>
      </c>
      <c r="H1098" t="s">
        <v>18</v>
      </c>
      <c r="I1098" t="s">
        <v>16</v>
      </c>
      <c r="J1098" t="s">
        <v>1544</v>
      </c>
      <c r="L1098" t="s">
        <v>18</v>
      </c>
      <c r="M1098" t="s">
        <v>2230</v>
      </c>
    </row>
    <row r="1099" spans="2:13" x14ac:dyDescent="0.25">
      <c r="B1099" t="s">
        <v>2101</v>
      </c>
      <c r="C1099">
        <v>18608735</v>
      </c>
      <c r="D1099" t="str">
        <f>"8695024033367"</f>
        <v>8695024033367</v>
      </c>
      <c r="E1099" t="s">
        <v>2240</v>
      </c>
      <c r="F1099" t="s">
        <v>1016</v>
      </c>
      <c r="G1099">
        <v>1</v>
      </c>
      <c r="H1099" t="s">
        <v>18</v>
      </c>
      <c r="I1099" t="s">
        <v>16</v>
      </c>
      <c r="J1099" t="s">
        <v>1544</v>
      </c>
      <c r="L1099" t="s">
        <v>18</v>
      </c>
      <c r="M1099" t="s">
        <v>2232</v>
      </c>
    </row>
    <row r="1100" spans="2:13" x14ac:dyDescent="0.25">
      <c r="B1100" t="s">
        <v>2241</v>
      </c>
      <c r="C1100">
        <v>13723582</v>
      </c>
      <c r="D1100" t="str">
        <f>"4607157118761"</f>
        <v>4607157118761</v>
      </c>
      <c r="E1100" t="s">
        <v>2242</v>
      </c>
      <c r="F1100" t="s">
        <v>170</v>
      </c>
      <c r="G1100">
        <v>1</v>
      </c>
      <c r="H1100" t="s">
        <v>18</v>
      </c>
      <c r="I1100" t="s">
        <v>16</v>
      </c>
      <c r="J1100" t="s">
        <v>1556</v>
      </c>
      <c r="L1100" t="s">
        <v>18</v>
      </c>
      <c r="M1100" t="s">
        <v>2243</v>
      </c>
    </row>
    <row r="1101" spans="2:13" x14ac:dyDescent="0.25">
      <c r="B1101" t="s">
        <v>2241</v>
      </c>
      <c r="C1101">
        <v>13723590</v>
      </c>
      <c r="D1101" t="str">
        <f>"4607157118808"</f>
        <v>4607157118808</v>
      </c>
      <c r="E1101" t="s">
        <v>2244</v>
      </c>
      <c r="F1101" t="s">
        <v>379</v>
      </c>
      <c r="G1101">
        <v>1</v>
      </c>
      <c r="H1101" t="s">
        <v>18</v>
      </c>
      <c r="I1101" t="s">
        <v>16</v>
      </c>
      <c r="J1101" t="s">
        <v>1556</v>
      </c>
      <c r="L1101" t="s">
        <v>18</v>
      </c>
      <c r="M1101" t="s">
        <v>2245</v>
      </c>
    </row>
    <row r="1102" spans="2:13" x14ac:dyDescent="0.25">
      <c r="B1102" t="s">
        <v>2241</v>
      </c>
      <c r="C1102">
        <v>13723603</v>
      </c>
      <c r="D1102" t="str">
        <f>"4607157118860"</f>
        <v>4607157118860</v>
      </c>
      <c r="E1102" t="s">
        <v>2246</v>
      </c>
      <c r="F1102" t="s">
        <v>277</v>
      </c>
      <c r="G1102">
        <v>1</v>
      </c>
      <c r="H1102" t="s">
        <v>18</v>
      </c>
      <c r="I1102" t="s">
        <v>16</v>
      </c>
      <c r="J1102" t="s">
        <v>1556</v>
      </c>
      <c r="L1102" t="s">
        <v>18</v>
      </c>
      <c r="M1102" t="s">
        <v>2036</v>
      </c>
    </row>
    <row r="1103" spans="2:13" x14ac:dyDescent="0.25">
      <c r="B1103" t="s">
        <v>2241</v>
      </c>
      <c r="C1103">
        <v>13944908</v>
      </c>
      <c r="D1103" t="str">
        <f>"4607157115708"</f>
        <v>4607157115708</v>
      </c>
      <c r="E1103" t="s">
        <v>2247</v>
      </c>
      <c r="F1103" t="s">
        <v>2248</v>
      </c>
      <c r="G1103">
        <v>1</v>
      </c>
      <c r="H1103" t="s">
        <v>18</v>
      </c>
      <c r="I1103" t="s">
        <v>16</v>
      </c>
      <c r="J1103" t="s">
        <v>1556</v>
      </c>
      <c r="L1103" t="s">
        <v>18</v>
      </c>
      <c r="M1103" t="s">
        <v>361</v>
      </c>
    </row>
    <row r="1104" spans="2:13" x14ac:dyDescent="0.25">
      <c r="B1104" t="s">
        <v>2241</v>
      </c>
      <c r="C1104">
        <v>13944916</v>
      </c>
      <c r="D1104" t="str">
        <f>"4607157115746"</f>
        <v>4607157115746</v>
      </c>
      <c r="E1104" t="s">
        <v>2249</v>
      </c>
      <c r="F1104" t="s">
        <v>328</v>
      </c>
      <c r="G1104">
        <v>1</v>
      </c>
      <c r="H1104" t="s">
        <v>18</v>
      </c>
      <c r="I1104" t="s">
        <v>16</v>
      </c>
      <c r="J1104" t="s">
        <v>1556</v>
      </c>
      <c r="L1104" t="s">
        <v>18</v>
      </c>
      <c r="M1104" t="s">
        <v>1646</v>
      </c>
    </row>
    <row r="1105" spans="2:13" x14ac:dyDescent="0.25">
      <c r="B1105" t="s">
        <v>2241</v>
      </c>
      <c r="C1105">
        <v>13944924</v>
      </c>
      <c r="D1105" t="str">
        <f>"4607157115715"</f>
        <v>4607157115715</v>
      </c>
      <c r="E1105" t="s">
        <v>2250</v>
      </c>
      <c r="F1105" t="s">
        <v>205</v>
      </c>
      <c r="G1105">
        <v>1</v>
      </c>
      <c r="H1105" t="s">
        <v>18</v>
      </c>
      <c r="I1105" t="s">
        <v>16</v>
      </c>
      <c r="J1105" t="s">
        <v>1556</v>
      </c>
      <c r="L1105" t="s">
        <v>18</v>
      </c>
      <c r="M1105" t="s">
        <v>843</v>
      </c>
    </row>
    <row r="1106" spans="2:13" x14ac:dyDescent="0.25">
      <c r="B1106" t="s">
        <v>2241</v>
      </c>
      <c r="C1106">
        <v>13944932</v>
      </c>
      <c r="D1106" t="str">
        <f>"4607157115739"</f>
        <v>4607157115739</v>
      </c>
      <c r="E1106" t="s">
        <v>2251</v>
      </c>
      <c r="F1106" t="s">
        <v>1934</v>
      </c>
      <c r="G1106">
        <v>1</v>
      </c>
      <c r="H1106" t="s">
        <v>18</v>
      </c>
      <c r="I1106" t="s">
        <v>16</v>
      </c>
      <c r="J1106" t="s">
        <v>1556</v>
      </c>
      <c r="L1106" t="s">
        <v>18</v>
      </c>
      <c r="M1106" t="s">
        <v>582</v>
      </c>
    </row>
    <row r="1107" spans="2:13" x14ac:dyDescent="0.25">
      <c r="B1107" t="s">
        <v>2241</v>
      </c>
      <c r="C1107">
        <v>14177587</v>
      </c>
      <c r="D1107" t="str">
        <f>"8595593001982"</f>
        <v>8595593001982</v>
      </c>
      <c r="E1107" t="s">
        <v>2252</v>
      </c>
      <c r="F1107" t="s">
        <v>165</v>
      </c>
      <c r="G1107">
        <v>1</v>
      </c>
      <c r="H1107" t="s">
        <v>18</v>
      </c>
      <c r="I1107" t="s">
        <v>16</v>
      </c>
      <c r="J1107" t="s">
        <v>1150</v>
      </c>
      <c r="L1107" t="s">
        <v>18</v>
      </c>
      <c r="M1107" t="s">
        <v>2253</v>
      </c>
    </row>
    <row r="1108" spans="2:13" x14ac:dyDescent="0.25">
      <c r="B1108" t="s">
        <v>2241</v>
      </c>
      <c r="C1108">
        <v>14177632</v>
      </c>
      <c r="D1108" t="str">
        <f>"8595593002002"</f>
        <v>8595593002002</v>
      </c>
      <c r="E1108" t="s">
        <v>2254</v>
      </c>
      <c r="F1108" t="s">
        <v>609</v>
      </c>
      <c r="G1108">
        <v>1</v>
      </c>
      <c r="H1108" t="s">
        <v>18</v>
      </c>
      <c r="I1108" t="s">
        <v>16</v>
      </c>
      <c r="J1108" t="s">
        <v>1150</v>
      </c>
      <c r="L1108" t="s">
        <v>18</v>
      </c>
      <c r="M1108" t="s">
        <v>757</v>
      </c>
    </row>
    <row r="1109" spans="2:13" x14ac:dyDescent="0.25">
      <c r="B1109" t="s">
        <v>2241</v>
      </c>
      <c r="C1109">
        <v>14177640</v>
      </c>
      <c r="D1109" t="str">
        <f>"8595593001999"</f>
        <v>8595593001999</v>
      </c>
      <c r="E1109" t="s">
        <v>2255</v>
      </c>
      <c r="F1109" t="s">
        <v>252</v>
      </c>
      <c r="G1109">
        <v>1</v>
      </c>
      <c r="H1109" t="s">
        <v>18</v>
      </c>
      <c r="I1109" t="s">
        <v>16</v>
      </c>
      <c r="J1109" t="s">
        <v>1150</v>
      </c>
      <c r="L1109" t="s">
        <v>18</v>
      </c>
      <c r="M1109" t="s">
        <v>757</v>
      </c>
    </row>
    <row r="1110" spans="2:13" x14ac:dyDescent="0.25">
      <c r="B1110" t="s">
        <v>2241</v>
      </c>
      <c r="C1110">
        <v>14177675</v>
      </c>
      <c r="D1110" t="str">
        <f>"8595593002019"</f>
        <v>8595593002019</v>
      </c>
      <c r="E1110" t="s">
        <v>2256</v>
      </c>
      <c r="F1110" t="s">
        <v>1594</v>
      </c>
      <c r="G1110">
        <v>1</v>
      </c>
      <c r="H1110" t="s">
        <v>18</v>
      </c>
      <c r="I1110" t="s">
        <v>16</v>
      </c>
      <c r="J1110" t="s">
        <v>1150</v>
      </c>
      <c r="L1110" t="s">
        <v>18</v>
      </c>
      <c r="M1110" t="s">
        <v>2257</v>
      </c>
    </row>
    <row r="1111" spans="2:13" x14ac:dyDescent="0.25">
      <c r="B1111" t="s">
        <v>2241</v>
      </c>
      <c r="C1111">
        <v>14349369</v>
      </c>
      <c r="D1111" t="str">
        <f>"8595593004044"</f>
        <v>8595593004044</v>
      </c>
      <c r="E1111" t="s">
        <v>2258</v>
      </c>
      <c r="F1111" t="s">
        <v>242</v>
      </c>
      <c r="G1111">
        <v>1</v>
      </c>
      <c r="H1111" t="s">
        <v>18</v>
      </c>
      <c r="I1111" t="s">
        <v>16</v>
      </c>
      <c r="J1111" t="s">
        <v>1150</v>
      </c>
      <c r="L1111" t="s">
        <v>18</v>
      </c>
      <c r="M1111" t="s">
        <v>757</v>
      </c>
    </row>
    <row r="1112" spans="2:13" x14ac:dyDescent="0.25">
      <c r="B1112" t="s">
        <v>2241</v>
      </c>
      <c r="C1112">
        <v>14349377</v>
      </c>
      <c r="D1112" t="str">
        <f>"8595593004051"</f>
        <v>8595593004051</v>
      </c>
      <c r="E1112" t="s">
        <v>2259</v>
      </c>
      <c r="F1112" t="s">
        <v>847</v>
      </c>
      <c r="G1112">
        <v>1</v>
      </c>
      <c r="H1112" t="s">
        <v>18</v>
      </c>
      <c r="I1112" t="s">
        <v>16</v>
      </c>
      <c r="J1112" t="s">
        <v>1150</v>
      </c>
      <c r="L1112" t="s">
        <v>18</v>
      </c>
      <c r="M1112" t="s">
        <v>2260</v>
      </c>
    </row>
    <row r="1113" spans="2:13" x14ac:dyDescent="0.25">
      <c r="B1113" t="s">
        <v>2241</v>
      </c>
      <c r="C1113">
        <v>14349393</v>
      </c>
      <c r="D1113" t="str">
        <f>"8595593004075"</f>
        <v>8595593004075</v>
      </c>
      <c r="E1113" t="s">
        <v>2261</v>
      </c>
      <c r="F1113" t="s">
        <v>406</v>
      </c>
      <c r="G1113">
        <v>1</v>
      </c>
      <c r="H1113" t="s">
        <v>18</v>
      </c>
      <c r="I1113" t="s">
        <v>16</v>
      </c>
      <c r="J1113" t="s">
        <v>1150</v>
      </c>
      <c r="L1113" t="s">
        <v>18</v>
      </c>
      <c r="M1113" t="s">
        <v>2262</v>
      </c>
    </row>
    <row r="1114" spans="2:13" x14ac:dyDescent="0.25">
      <c r="B1114" t="s">
        <v>2241</v>
      </c>
      <c r="C1114">
        <v>14349609</v>
      </c>
      <c r="D1114" t="str">
        <f>"8595593004518"</f>
        <v>8595593004518</v>
      </c>
      <c r="E1114" t="s">
        <v>2263</v>
      </c>
      <c r="F1114" t="s">
        <v>174</v>
      </c>
      <c r="G1114">
        <v>1</v>
      </c>
      <c r="H1114" t="s">
        <v>18</v>
      </c>
      <c r="I1114" t="s">
        <v>16</v>
      </c>
      <c r="J1114" t="s">
        <v>1150</v>
      </c>
      <c r="L1114" t="s">
        <v>18</v>
      </c>
      <c r="M1114" t="s">
        <v>2262</v>
      </c>
    </row>
    <row r="1115" spans="2:13" x14ac:dyDescent="0.25">
      <c r="B1115" t="s">
        <v>2241</v>
      </c>
      <c r="C1115">
        <v>15077174</v>
      </c>
      <c r="D1115" t="str">
        <f>"3276004808691"</f>
        <v>3276004808691</v>
      </c>
      <c r="E1115" t="s">
        <v>2264</v>
      </c>
      <c r="F1115" t="s">
        <v>1418</v>
      </c>
      <c r="G1115">
        <v>1</v>
      </c>
      <c r="H1115" t="s">
        <v>18</v>
      </c>
      <c r="I1115" t="s">
        <v>16</v>
      </c>
      <c r="J1115" t="s">
        <v>17</v>
      </c>
      <c r="L1115" t="s">
        <v>18</v>
      </c>
      <c r="M1115" t="s">
        <v>2265</v>
      </c>
    </row>
    <row r="1116" spans="2:13" x14ac:dyDescent="0.25">
      <c r="B1116" t="s">
        <v>2241</v>
      </c>
      <c r="C1116">
        <v>15077182</v>
      </c>
      <c r="D1116" t="str">
        <f>"3276004808653"</f>
        <v>3276004808653</v>
      </c>
      <c r="E1116" t="s">
        <v>2266</v>
      </c>
      <c r="F1116" t="s">
        <v>2267</v>
      </c>
      <c r="G1116">
        <v>1</v>
      </c>
      <c r="H1116" t="s">
        <v>18</v>
      </c>
      <c r="I1116" t="s">
        <v>16</v>
      </c>
      <c r="J1116" t="s">
        <v>17</v>
      </c>
      <c r="L1116" t="s">
        <v>18</v>
      </c>
      <c r="M1116" t="s">
        <v>1965</v>
      </c>
    </row>
    <row r="1117" spans="2:13" x14ac:dyDescent="0.25">
      <c r="B1117" t="s">
        <v>2241</v>
      </c>
      <c r="C1117">
        <v>15077191</v>
      </c>
      <c r="D1117" t="str">
        <f>"3276004808615"</f>
        <v>3276004808615</v>
      </c>
      <c r="E1117" t="s">
        <v>2268</v>
      </c>
      <c r="F1117" t="s">
        <v>34</v>
      </c>
      <c r="G1117">
        <v>1</v>
      </c>
      <c r="H1117" t="s">
        <v>18</v>
      </c>
      <c r="I1117" t="s">
        <v>16</v>
      </c>
      <c r="J1117" t="s">
        <v>17</v>
      </c>
      <c r="L1117" t="s">
        <v>18</v>
      </c>
      <c r="M1117" t="s">
        <v>91</v>
      </c>
    </row>
    <row r="1118" spans="2:13" x14ac:dyDescent="0.25">
      <c r="B1118" t="s">
        <v>2241</v>
      </c>
      <c r="C1118">
        <v>15077203</v>
      </c>
      <c r="D1118" t="str">
        <f>"3276004808578"</f>
        <v>3276004808578</v>
      </c>
      <c r="E1118" t="s">
        <v>2269</v>
      </c>
      <c r="F1118" t="s">
        <v>749</v>
      </c>
      <c r="G1118">
        <v>1</v>
      </c>
      <c r="H1118" t="s">
        <v>18</v>
      </c>
      <c r="I1118" t="s">
        <v>16</v>
      </c>
      <c r="J1118" t="s">
        <v>17</v>
      </c>
      <c r="L1118" t="s">
        <v>18</v>
      </c>
      <c r="M1118" t="s">
        <v>639</v>
      </c>
    </row>
    <row r="1119" spans="2:13" x14ac:dyDescent="0.25">
      <c r="B1119" t="s">
        <v>2241</v>
      </c>
      <c r="C1119">
        <v>15077262</v>
      </c>
      <c r="D1119" t="str">
        <f>"3276004808172"</f>
        <v>3276004808172</v>
      </c>
      <c r="E1119" t="s">
        <v>2270</v>
      </c>
      <c r="F1119" t="s">
        <v>1418</v>
      </c>
      <c r="G1119">
        <v>0</v>
      </c>
      <c r="H1119" t="s">
        <v>18</v>
      </c>
      <c r="I1119" t="s">
        <v>16</v>
      </c>
      <c r="J1119" t="s">
        <v>17</v>
      </c>
      <c r="L1119" t="s">
        <v>18</v>
      </c>
      <c r="M1119" t="s">
        <v>1422</v>
      </c>
    </row>
    <row r="1120" spans="2:13" x14ac:dyDescent="0.25">
      <c r="B1120" t="s">
        <v>2241</v>
      </c>
      <c r="C1120">
        <v>15077297</v>
      </c>
      <c r="D1120" t="str">
        <f>"3276004807731"</f>
        <v>3276004807731</v>
      </c>
      <c r="E1120" t="s">
        <v>2271</v>
      </c>
      <c r="F1120" t="s">
        <v>31</v>
      </c>
      <c r="G1120">
        <v>1</v>
      </c>
      <c r="H1120" t="s">
        <v>18</v>
      </c>
      <c r="I1120" t="s">
        <v>16</v>
      </c>
      <c r="J1120" t="s">
        <v>17</v>
      </c>
      <c r="L1120" t="s">
        <v>18</v>
      </c>
      <c r="M1120" t="s">
        <v>2265</v>
      </c>
    </row>
    <row r="1121" spans="2:13" x14ac:dyDescent="0.25">
      <c r="B1121" t="s">
        <v>2241</v>
      </c>
      <c r="C1121">
        <v>15077300</v>
      </c>
      <c r="D1121" t="str">
        <f>"3276004807694"</f>
        <v>3276004807694</v>
      </c>
      <c r="E1121" t="s">
        <v>2272</v>
      </c>
      <c r="F1121" t="s">
        <v>277</v>
      </c>
      <c r="G1121">
        <v>1</v>
      </c>
      <c r="H1121" t="s">
        <v>18</v>
      </c>
      <c r="I1121" t="s">
        <v>16</v>
      </c>
      <c r="J1121" t="s">
        <v>17</v>
      </c>
      <c r="L1121" t="s">
        <v>18</v>
      </c>
      <c r="M1121" t="s">
        <v>1965</v>
      </c>
    </row>
    <row r="1122" spans="2:13" x14ac:dyDescent="0.25">
      <c r="B1122" t="s">
        <v>2241</v>
      </c>
      <c r="C1122">
        <v>15077318</v>
      </c>
      <c r="D1122" t="str">
        <f>"3276004807656"</f>
        <v>3276004807656</v>
      </c>
      <c r="E1122" t="s">
        <v>2273</v>
      </c>
      <c r="F1122" t="s">
        <v>194</v>
      </c>
      <c r="G1122">
        <v>1</v>
      </c>
      <c r="H1122" t="s">
        <v>18</v>
      </c>
      <c r="I1122" t="s">
        <v>16</v>
      </c>
      <c r="J1122" t="s">
        <v>17</v>
      </c>
      <c r="L1122" t="s">
        <v>18</v>
      </c>
      <c r="M1122" t="s">
        <v>91</v>
      </c>
    </row>
    <row r="1123" spans="2:13" x14ac:dyDescent="0.25">
      <c r="B1123" t="s">
        <v>2241</v>
      </c>
      <c r="C1123">
        <v>15077326</v>
      </c>
      <c r="D1123" t="str">
        <f>"3276004807618"</f>
        <v>3276004807618</v>
      </c>
      <c r="E1123" t="s">
        <v>2274</v>
      </c>
      <c r="F1123" t="s">
        <v>889</v>
      </c>
      <c r="G1123">
        <v>1</v>
      </c>
      <c r="H1123" t="s">
        <v>18</v>
      </c>
      <c r="I1123" t="s">
        <v>16</v>
      </c>
      <c r="J1123" t="s">
        <v>17</v>
      </c>
      <c r="L1123" t="s">
        <v>18</v>
      </c>
      <c r="M1123" t="s">
        <v>639</v>
      </c>
    </row>
    <row r="1124" spans="2:13" x14ac:dyDescent="0.25">
      <c r="B1124" t="s">
        <v>2241</v>
      </c>
      <c r="C1124">
        <v>15670525</v>
      </c>
      <c r="D1124" t="str">
        <f>"3276004808059"</f>
        <v>3276004808059</v>
      </c>
      <c r="E1124" t="s">
        <v>2275</v>
      </c>
      <c r="F1124" t="s">
        <v>425</v>
      </c>
      <c r="G1124">
        <v>1</v>
      </c>
      <c r="H1124" t="s">
        <v>18</v>
      </c>
      <c r="I1124" t="s">
        <v>16</v>
      </c>
      <c r="J1124" t="s">
        <v>28</v>
      </c>
      <c r="L1124" t="s">
        <v>18</v>
      </c>
      <c r="M1124" t="s">
        <v>2265</v>
      </c>
    </row>
    <row r="1125" spans="2:13" x14ac:dyDescent="0.25">
      <c r="B1125" t="s">
        <v>2241</v>
      </c>
      <c r="C1125">
        <v>15670664</v>
      </c>
      <c r="D1125" t="str">
        <f>"3276004808011"</f>
        <v>3276004808011</v>
      </c>
      <c r="E1125" t="s">
        <v>2276</v>
      </c>
      <c r="F1125" t="s">
        <v>114</v>
      </c>
      <c r="G1125">
        <v>1</v>
      </c>
      <c r="H1125" t="s">
        <v>18</v>
      </c>
      <c r="I1125" t="s">
        <v>16</v>
      </c>
      <c r="J1125" t="s">
        <v>28</v>
      </c>
      <c r="L1125" t="s">
        <v>18</v>
      </c>
      <c r="M1125" t="s">
        <v>1965</v>
      </c>
    </row>
    <row r="1126" spans="2:13" x14ac:dyDescent="0.25">
      <c r="B1126" t="s">
        <v>2241</v>
      </c>
      <c r="C1126">
        <v>15670672</v>
      </c>
      <c r="D1126" t="str">
        <f>"3276004807977"</f>
        <v>3276004807977</v>
      </c>
      <c r="E1126" t="s">
        <v>2277</v>
      </c>
      <c r="F1126" t="s">
        <v>1016</v>
      </c>
      <c r="G1126">
        <v>1</v>
      </c>
      <c r="H1126" t="s">
        <v>18</v>
      </c>
      <c r="I1126" t="s">
        <v>16</v>
      </c>
      <c r="J1126" t="s">
        <v>17</v>
      </c>
      <c r="L1126" t="s">
        <v>18</v>
      </c>
      <c r="M1126" t="s">
        <v>91</v>
      </c>
    </row>
    <row r="1127" spans="2:13" x14ac:dyDescent="0.25">
      <c r="B1127" t="s">
        <v>2241</v>
      </c>
      <c r="C1127">
        <v>15670681</v>
      </c>
      <c r="D1127" t="str">
        <f>"3276004807939"</f>
        <v>3276004807939</v>
      </c>
      <c r="E1127" t="s">
        <v>2278</v>
      </c>
      <c r="F1127" t="s">
        <v>2279</v>
      </c>
      <c r="G1127">
        <v>1</v>
      </c>
      <c r="H1127" t="s">
        <v>18</v>
      </c>
      <c r="I1127" t="s">
        <v>16</v>
      </c>
      <c r="J1127" t="s">
        <v>17</v>
      </c>
      <c r="L1127" t="s">
        <v>18</v>
      </c>
      <c r="M1127" t="s">
        <v>639</v>
      </c>
    </row>
    <row r="1128" spans="2:13" x14ac:dyDescent="0.25">
      <c r="B1128" t="s">
        <v>2241</v>
      </c>
      <c r="C1128">
        <v>15670699</v>
      </c>
      <c r="D1128" t="str">
        <f>"3276004807410"</f>
        <v>3276004807410</v>
      </c>
      <c r="E1128" t="s">
        <v>2280</v>
      </c>
      <c r="F1128" t="s">
        <v>366</v>
      </c>
      <c r="G1128">
        <v>1</v>
      </c>
      <c r="H1128" t="s">
        <v>18</v>
      </c>
      <c r="I1128" t="s">
        <v>16</v>
      </c>
      <c r="J1128" t="s">
        <v>17</v>
      </c>
      <c r="L1128" t="s">
        <v>18</v>
      </c>
      <c r="M1128" t="s">
        <v>2265</v>
      </c>
    </row>
    <row r="1129" spans="2:13" x14ac:dyDescent="0.25">
      <c r="B1129" t="s">
        <v>2241</v>
      </c>
      <c r="C1129">
        <v>15670701</v>
      </c>
      <c r="D1129" t="str">
        <f>"3276004807373"</f>
        <v>3276004807373</v>
      </c>
      <c r="E1129" t="s">
        <v>2281</v>
      </c>
      <c r="F1129" t="s">
        <v>525</v>
      </c>
      <c r="G1129">
        <v>1</v>
      </c>
      <c r="H1129" t="s">
        <v>18</v>
      </c>
      <c r="I1129" t="s">
        <v>16</v>
      </c>
      <c r="J1129" t="s">
        <v>28</v>
      </c>
      <c r="L1129" t="s">
        <v>18</v>
      </c>
      <c r="M1129" t="s">
        <v>1965</v>
      </c>
    </row>
    <row r="1130" spans="2:13" x14ac:dyDescent="0.25">
      <c r="B1130" t="s">
        <v>2241</v>
      </c>
      <c r="C1130">
        <v>15670710</v>
      </c>
      <c r="D1130" t="str">
        <f>"3276004807335"</f>
        <v>3276004807335</v>
      </c>
      <c r="E1130" t="s">
        <v>2282</v>
      </c>
      <c r="F1130" t="s">
        <v>2267</v>
      </c>
      <c r="G1130">
        <v>1</v>
      </c>
      <c r="H1130" t="s">
        <v>18</v>
      </c>
      <c r="I1130" t="s">
        <v>16</v>
      </c>
      <c r="J1130" t="s">
        <v>17</v>
      </c>
      <c r="L1130" t="s">
        <v>18</v>
      </c>
      <c r="M1130" t="s">
        <v>91</v>
      </c>
    </row>
    <row r="1131" spans="2:13" x14ac:dyDescent="0.25">
      <c r="B1131" t="s">
        <v>2241</v>
      </c>
      <c r="C1131">
        <v>15670728</v>
      </c>
      <c r="D1131" t="str">
        <f>"3276004807298"</f>
        <v>3276004807298</v>
      </c>
      <c r="E1131" t="s">
        <v>2283</v>
      </c>
      <c r="F1131" t="s">
        <v>1934</v>
      </c>
      <c r="G1131">
        <v>1</v>
      </c>
      <c r="H1131" t="s">
        <v>18</v>
      </c>
      <c r="I1131" t="s">
        <v>16</v>
      </c>
      <c r="J1131" t="s">
        <v>17</v>
      </c>
      <c r="L1131" t="s">
        <v>18</v>
      </c>
      <c r="M1131" t="s">
        <v>639</v>
      </c>
    </row>
    <row r="1132" spans="2:13" x14ac:dyDescent="0.25">
      <c r="B1132" t="s">
        <v>2241</v>
      </c>
      <c r="C1132">
        <v>15900458</v>
      </c>
      <c r="D1132" t="str">
        <f>"3276005534087"</f>
        <v>3276005534087</v>
      </c>
      <c r="E1132" t="s">
        <v>2284</v>
      </c>
      <c r="F1132" t="s">
        <v>227</v>
      </c>
      <c r="G1132">
        <v>1</v>
      </c>
      <c r="H1132" t="s">
        <v>18</v>
      </c>
      <c r="I1132" t="s">
        <v>16</v>
      </c>
      <c r="J1132" t="s">
        <v>28</v>
      </c>
      <c r="L1132" t="s">
        <v>18</v>
      </c>
      <c r="M1132" t="s">
        <v>1663</v>
      </c>
    </row>
    <row r="1133" spans="2:13" x14ac:dyDescent="0.25">
      <c r="B1133" t="s">
        <v>2241</v>
      </c>
      <c r="C1133">
        <v>15900466</v>
      </c>
      <c r="D1133" t="str">
        <f>"3276005534049"</f>
        <v>3276005534049</v>
      </c>
      <c r="E1133" t="s">
        <v>2285</v>
      </c>
      <c r="F1133" t="s">
        <v>295</v>
      </c>
      <c r="G1133">
        <v>1</v>
      </c>
      <c r="H1133" t="s">
        <v>18</v>
      </c>
      <c r="I1133" t="s">
        <v>16</v>
      </c>
      <c r="J1133" t="s">
        <v>17</v>
      </c>
      <c r="L1133" t="s">
        <v>18</v>
      </c>
      <c r="M1133" t="s">
        <v>2286</v>
      </c>
    </row>
    <row r="1134" spans="2:13" x14ac:dyDescent="0.25">
      <c r="B1134" t="s">
        <v>2241</v>
      </c>
      <c r="C1134">
        <v>15900474</v>
      </c>
      <c r="D1134" t="str">
        <f>"3276005534001"</f>
        <v>3276005534001</v>
      </c>
      <c r="E1134" t="s">
        <v>2287</v>
      </c>
      <c r="F1134" t="s">
        <v>165</v>
      </c>
      <c r="G1134">
        <v>1</v>
      </c>
      <c r="H1134" t="s">
        <v>18</v>
      </c>
      <c r="I1134" t="s">
        <v>16</v>
      </c>
      <c r="J1134" t="s">
        <v>17</v>
      </c>
      <c r="L1134" t="s">
        <v>18</v>
      </c>
      <c r="M1134" t="s">
        <v>2224</v>
      </c>
    </row>
    <row r="1135" spans="2:13" x14ac:dyDescent="0.25">
      <c r="B1135" t="s">
        <v>2241</v>
      </c>
      <c r="C1135">
        <v>15900482</v>
      </c>
      <c r="D1135" t="str">
        <f>"3276005533967"</f>
        <v>3276005533967</v>
      </c>
      <c r="E1135" t="s">
        <v>2288</v>
      </c>
      <c r="F1135" t="s">
        <v>165</v>
      </c>
      <c r="G1135">
        <v>1</v>
      </c>
      <c r="H1135" t="s">
        <v>18</v>
      </c>
      <c r="I1135" t="s">
        <v>16</v>
      </c>
      <c r="J1135" t="s">
        <v>17</v>
      </c>
      <c r="L1135" t="s">
        <v>18</v>
      </c>
      <c r="M1135" t="s">
        <v>2224</v>
      </c>
    </row>
    <row r="1136" spans="2:13" x14ac:dyDescent="0.25">
      <c r="B1136" t="s">
        <v>2241</v>
      </c>
      <c r="C1136">
        <v>15900491</v>
      </c>
      <c r="D1136" t="str">
        <f>"3276005533929"</f>
        <v>3276005533929</v>
      </c>
      <c r="E1136" t="s">
        <v>2289</v>
      </c>
      <c r="F1136" t="s">
        <v>366</v>
      </c>
      <c r="G1136">
        <v>1</v>
      </c>
      <c r="H1136" t="s">
        <v>18</v>
      </c>
      <c r="I1136" t="s">
        <v>16</v>
      </c>
      <c r="J1136" t="s">
        <v>17</v>
      </c>
      <c r="L1136" t="s">
        <v>18</v>
      </c>
      <c r="M1136" t="s">
        <v>2290</v>
      </c>
    </row>
    <row r="1137" spans="2:13" x14ac:dyDescent="0.25">
      <c r="B1137" t="s">
        <v>2241</v>
      </c>
      <c r="C1137">
        <v>15900503</v>
      </c>
      <c r="D1137" t="str">
        <f>"3276005533486"</f>
        <v>3276005533486</v>
      </c>
      <c r="E1137" t="s">
        <v>2291</v>
      </c>
      <c r="F1137" t="s">
        <v>40</v>
      </c>
      <c r="G1137">
        <v>1</v>
      </c>
      <c r="H1137" t="s">
        <v>18</v>
      </c>
      <c r="I1137" t="s">
        <v>16</v>
      </c>
      <c r="J1137" t="s">
        <v>17</v>
      </c>
      <c r="L1137" t="s">
        <v>18</v>
      </c>
      <c r="M1137" t="s">
        <v>2058</v>
      </c>
    </row>
    <row r="1138" spans="2:13" x14ac:dyDescent="0.25">
      <c r="B1138" t="s">
        <v>2241</v>
      </c>
      <c r="C1138">
        <v>15900511</v>
      </c>
      <c r="D1138" t="str">
        <f>"3276005533448"</f>
        <v>3276005533448</v>
      </c>
      <c r="E1138" t="s">
        <v>2292</v>
      </c>
      <c r="F1138" t="s">
        <v>205</v>
      </c>
      <c r="G1138">
        <v>1</v>
      </c>
      <c r="H1138" t="s">
        <v>18</v>
      </c>
      <c r="I1138" t="s">
        <v>16</v>
      </c>
      <c r="J1138" t="s">
        <v>28</v>
      </c>
      <c r="L1138" t="s">
        <v>18</v>
      </c>
      <c r="M1138" t="s">
        <v>1646</v>
      </c>
    </row>
    <row r="1139" spans="2:13" x14ac:dyDescent="0.25">
      <c r="B1139" t="s">
        <v>2241</v>
      </c>
      <c r="C1139">
        <v>15900520</v>
      </c>
      <c r="D1139" t="str">
        <f>"3276005533400"</f>
        <v>3276005533400</v>
      </c>
      <c r="E1139" t="s">
        <v>2293</v>
      </c>
      <c r="F1139" t="s">
        <v>60</v>
      </c>
      <c r="G1139">
        <v>1</v>
      </c>
      <c r="H1139" t="s">
        <v>18</v>
      </c>
      <c r="I1139" t="s">
        <v>16</v>
      </c>
      <c r="J1139" t="s">
        <v>17</v>
      </c>
      <c r="L1139" t="s">
        <v>18</v>
      </c>
      <c r="M1139" t="s">
        <v>893</v>
      </c>
    </row>
    <row r="1140" spans="2:13" x14ac:dyDescent="0.25">
      <c r="B1140" t="s">
        <v>2241</v>
      </c>
      <c r="C1140">
        <v>15900538</v>
      </c>
      <c r="D1140" t="str">
        <f>"3276005533363"</f>
        <v>3276005533363</v>
      </c>
      <c r="E1140" t="s">
        <v>2294</v>
      </c>
      <c r="F1140" t="s">
        <v>973</v>
      </c>
      <c r="G1140">
        <v>1</v>
      </c>
      <c r="H1140" t="s">
        <v>18</v>
      </c>
      <c r="I1140" t="s">
        <v>16</v>
      </c>
      <c r="J1140" t="s">
        <v>17</v>
      </c>
      <c r="L1140" t="s">
        <v>18</v>
      </c>
      <c r="M1140" t="s">
        <v>781</v>
      </c>
    </row>
    <row r="1141" spans="2:13" x14ac:dyDescent="0.25">
      <c r="B1141" t="s">
        <v>2241</v>
      </c>
      <c r="C1141">
        <v>15900546</v>
      </c>
      <c r="D1141" t="str">
        <f>"3276005533325"</f>
        <v>3276005533325</v>
      </c>
      <c r="E1141" t="s">
        <v>2295</v>
      </c>
      <c r="F1141" t="s">
        <v>277</v>
      </c>
      <c r="G1141">
        <v>1</v>
      </c>
      <c r="H1141" t="s">
        <v>18</v>
      </c>
      <c r="I1141" t="s">
        <v>16</v>
      </c>
      <c r="J1141" t="s">
        <v>17</v>
      </c>
      <c r="L1141" t="s">
        <v>18</v>
      </c>
      <c r="M1141" t="s">
        <v>2030</v>
      </c>
    </row>
    <row r="1142" spans="2:13" x14ac:dyDescent="0.25">
      <c r="B1142" t="s">
        <v>2241</v>
      </c>
      <c r="C1142">
        <v>15900554</v>
      </c>
      <c r="D1142" t="str">
        <f>"3276005533288"</f>
        <v>3276005533288</v>
      </c>
      <c r="E1142" t="s">
        <v>2296</v>
      </c>
      <c r="F1142" t="s">
        <v>406</v>
      </c>
      <c r="G1142">
        <v>1</v>
      </c>
      <c r="H1142" t="s">
        <v>18</v>
      </c>
      <c r="I1142" t="s">
        <v>16</v>
      </c>
      <c r="J1142" t="s">
        <v>17</v>
      </c>
      <c r="L1142" t="s">
        <v>18</v>
      </c>
      <c r="M1142" t="s">
        <v>781</v>
      </c>
    </row>
    <row r="1143" spans="2:13" x14ac:dyDescent="0.25">
      <c r="B1143" t="s">
        <v>2241</v>
      </c>
      <c r="C1143">
        <v>15900562</v>
      </c>
      <c r="D1143" t="str">
        <f>"3276005533240"</f>
        <v>3276005533240</v>
      </c>
      <c r="E1143" t="s">
        <v>2297</v>
      </c>
      <c r="F1143" t="s">
        <v>413</v>
      </c>
      <c r="G1143">
        <v>1</v>
      </c>
      <c r="H1143" t="s">
        <v>18</v>
      </c>
      <c r="I1143" t="s">
        <v>16</v>
      </c>
      <c r="J1143" t="s">
        <v>17</v>
      </c>
      <c r="L1143" t="s">
        <v>18</v>
      </c>
      <c r="M1143" t="s">
        <v>862</v>
      </c>
    </row>
    <row r="1144" spans="2:13" x14ac:dyDescent="0.25">
      <c r="B1144" t="s">
        <v>2241</v>
      </c>
      <c r="C1144">
        <v>17104332</v>
      </c>
      <c r="D1144" t="str">
        <f>"8595593006345"</f>
        <v>8595593006345</v>
      </c>
      <c r="E1144" t="s">
        <v>2298</v>
      </c>
      <c r="F1144" t="s">
        <v>174</v>
      </c>
      <c r="G1144">
        <v>1</v>
      </c>
      <c r="H1144" t="s">
        <v>18</v>
      </c>
      <c r="I1144" t="s">
        <v>16</v>
      </c>
      <c r="J1144" t="s">
        <v>1150</v>
      </c>
      <c r="L1144" t="s">
        <v>18</v>
      </c>
      <c r="M1144" t="s">
        <v>2299</v>
      </c>
    </row>
    <row r="1145" spans="2:13" x14ac:dyDescent="0.25">
      <c r="B1145" t="s">
        <v>2241</v>
      </c>
      <c r="C1145">
        <v>17104375</v>
      </c>
      <c r="D1145" t="str">
        <f>"8595593006352"</f>
        <v>8595593006352</v>
      </c>
      <c r="E1145" t="s">
        <v>2300</v>
      </c>
      <c r="F1145" t="s">
        <v>165</v>
      </c>
      <c r="G1145">
        <v>1</v>
      </c>
      <c r="H1145" t="s">
        <v>18</v>
      </c>
      <c r="I1145" t="s">
        <v>16</v>
      </c>
      <c r="J1145" t="s">
        <v>1150</v>
      </c>
      <c r="L1145" t="s">
        <v>18</v>
      </c>
      <c r="M1145" t="s">
        <v>2301</v>
      </c>
    </row>
    <row r="1146" spans="2:13" x14ac:dyDescent="0.25">
      <c r="B1146" t="s">
        <v>2241</v>
      </c>
      <c r="C1146">
        <v>17119921</v>
      </c>
      <c r="D1146" t="str">
        <f>"4627112610277"</f>
        <v>4627112610277</v>
      </c>
      <c r="E1146" t="s">
        <v>2302</v>
      </c>
      <c r="F1146" t="s">
        <v>170</v>
      </c>
      <c r="G1146">
        <v>1</v>
      </c>
      <c r="H1146" t="s">
        <v>18</v>
      </c>
      <c r="I1146" t="s">
        <v>16</v>
      </c>
      <c r="J1146" t="s">
        <v>892</v>
      </c>
      <c r="L1146" t="s">
        <v>18</v>
      </c>
      <c r="M1146" t="s">
        <v>2303</v>
      </c>
    </row>
    <row r="1147" spans="2:13" x14ac:dyDescent="0.25">
      <c r="B1147" t="s">
        <v>2241</v>
      </c>
      <c r="C1147">
        <v>17119930</v>
      </c>
      <c r="D1147" t="str">
        <f>"4627112610284"</f>
        <v>4627112610284</v>
      </c>
      <c r="E1147" t="s">
        <v>2304</v>
      </c>
      <c r="F1147" t="s">
        <v>791</v>
      </c>
      <c r="G1147">
        <v>1</v>
      </c>
      <c r="H1147" t="s">
        <v>18</v>
      </c>
      <c r="I1147" t="s">
        <v>16</v>
      </c>
      <c r="J1147" t="s">
        <v>892</v>
      </c>
      <c r="L1147" t="s">
        <v>18</v>
      </c>
      <c r="M1147" t="s">
        <v>2305</v>
      </c>
    </row>
    <row r="1148" spans="2:13" x14ac:dyDescent="0.25">
      <c r="B1148" t="s">
        <v>2241</v>
      </c>
      <c r="C1148">
        <v>17119948</v>
      </c>
      <c r="D1148" t="str">
        <f>"4627112610291"</f>
        <v>4627112610291</v>
      </c>
      <c r="E1148" t="s">
        <v>2306</v>
      </c>
      <c r="F1148" t="s">
        <v>242</v>
      </c>
      <c r="G1148">
        <v>1</v>
      </c>
      <c r="H1148" t="s">
        <v>18</v>
      </c>
      <c r="I1148" t="s">
        <v>16</v>
      </c>
      <c r="J1148" t="s">
        <v>892</v>
      </c>
      <c r="L1148" t="s">
        <v>18</v>
      </c>
      <c r="M1148" t="s">
        <v>2307</v>
      </c>
    </row>
    <row r="1149" spans="2:13" x14ac:dyDescent="0.25">
      <c r="B1149" t="s">
        <v>2241</v>
      </c>
      <c r="C1149">
        <v>17764488</v>
      </c>
      <c r="D1149" t="str">
        <f>"6931234573401"</f>
        <v>6931234573401</v>
      </c>
      <c r="E1149" t="s">
        <v>2308</v>
      </c>
      <c r="F1149" t="s">
        <v>205</v>
      </c>
      <c r="G1149">
        <v>1</v>
      </c>
      <c r="H1149" t="s">
        <v>18</v>
      </c>
      <c r="I1149" t="s">
        <v>16</v>
      </c>
      <c r="J1149" t="s">
        <v>239</v>
      </c>
      <c r="L1149" t="s">
        <v>18</v>
      </c>
      <c r="M1149" t="s">
        <v>2309</v>
      </c>
    </row>
    <row r="1150" spans="2:13" x14ac:dyDescent="0.25">
      <c r="B1150" t="s">
        <v>2241</v>
      </c>
      <c r="C1150">
        <v>17764496</v>
      </c>
      <c r="D1150" t="str">
        <f>"6931234573418"</f>
        <v>6931234573418</v>
      </c>
      <c r="E1150" t="s">
        <v>2310</v>
      </c>
      <c r="F1150" t="s">
        <v>212</v>
      </c>
      <c r="G1150">
        <v>1</v>
      </c>
      <c r="H1150" t="s">
        <v>18</v>
      </c>
      <c r="I1150" t="s">
        <v>16</v>
      </c>
      <c r="J1150" t="s">
        <v>239</v>
      </c>
      <c r="L1150" t="s">
        <v>18</v>
      </c>
      <c r="M1150" t="s">
        <v>2309</v>
      </c>
    </row>
    <row r="1151" spans="2:13" x14ac:dyDescent="0.25">
      <c r="B1151" t="s">
        <v>2241</v>
      </c>
      <c r="C1151">
        <v>18039616</v>
      </c>
      <c r="D1151" t="str">
        <f>"4627091397084"</f>
        <v>4627091397084</v>
      </c>
      <c r="E1151" t="s">
        <v>2311</v>
      </c>
      <c r="F1151" t="s">
        <v>60</v>
      </c>
      <c r="G1151">
        <v>1</v>
      </c>
      <c r="H1151" t="s">
        <v>18</v>
      </c>
      <c r="I1151" t="s">
        <v>16</v>
      </c>
      <c r="J1151" t="s">
        <v>854</v>
      </c>
      <c r="L1151" t="s">
        <v>18</v>
      </c>
      <c r="M1151" t="s">
        <v>2312</v>
      </c>
    </row>
    <row r="1152" spans="2:13" x14ac:dyDescent="0.25">
      <c r="B1152" t="s">
        <v>2241</v>
      </c>
      <c r="C1152">
        <v>18039624</v>
      </c>
      <c r="D1152" t="str">
        <f>"4627091397091"</f>
        <v>4627091397091</v>
      </c>
      <c r="E1152" t="s">
        <v>2313</v>
      </c>
      <c r="F1152" t="s">
        <v>410</v>
      </c>
      <c r="G1152">
        <v>1</v>
      </c>
      <c r="H1152" t="s">
        <v>18</v>
      </c>
      <c r="I1152" t="s">
        <v>16</v>
      </c>
      <c r="J1152" t="s">
        <v>854</v>
      </c>
      <c r="L1152" t="s">
        <v>18</v>
      </c>
      <c r="M1152" t="s">
        <v>2314</v>
      </c>
    </row>
    <row r="1153" spans="2:13" x14ac:dyDescent="0.25">
      <c r="B1153" t="s">
        <v>2241</v>
      </c>
      <c r="C1153">
        <v>18039632</v>
      </c>
      <c r="D1153" t="str">
        <f>"4627091397107"</f>
        <v>4627091397107</v>
      </c>
      <c r="E1153" t="s">
        <v>2315</v>
      </c>
      <c r="F1153" t="s">
        <v>1025</v>
      </c>
      <c r="G1153">
        <v>1</v>
      </c>
      <c r="H1153" t="s">
        <v>18</v>
      </c>
      <c r="I1153" t="s">
        <v>16</v>
      </c>
      <c r="J1153" t="s">
        <v>854</v>
      </c>
      <c r="L1153" t="s">
        <v>18</v>
      </c>
      <c r="M1153" t="s">
        <v>2314</v>
      </c>
    </row>
    <row r="1154" spans="2:13" x14ac:dyDescent="0.25">
      <c r="B1154" t="s">
        <v>2241</v>
      </c>
      <c r="C1154">
        <v>18039641</v>
      </c>
      <c r="D1154" t="str">
        <f>"4627091397114"</f>
        <v>4627091397114</v>
      </c>
      <c r="E1154" t="s">
        <v>2316</v>
      </c>
      <c r="F1154" t="s">
        <v>823</v>
      </c>
      <c r="G1154">
        <v>1</v>
      </c>
      <c r="H1154" t="s">
        <v>18</v>
      </c>
      <c r="I1154" t="s">
        <v>16</v>
      </c>
      <c r="J1154" t="s">
        <v>854</v>
      </c>
      <c r="L1154" t="s">
        <v>18</v>
      </c>
      <c r="M1154" t="s">
        <v>2317</v>
      </c>
    </row>
    <row r="1155" spans="2:13" x14ac:dyDescent="0.25">
      <c r="B1155" t="s">
        <v>2241</v>
      </c>
      <c r="C1155">
        <v>18039659</v>
      </c>
      <c r="D1155" t="str">
        <f>"4627091397121"</f>
        <v>4627091397121</v>
      </c>
      <c r="E1155" t="s">
        <v>2318</v>
      </c>
      <c r="F1155" t="s">
        <v>227</v>
      </c>
      <c r="G1155">
        <v>1</v>
      </c>
      <c r="H1155" t="s">
        <v>18</v>
      </c>
      <c r="I1155" t="s">
        <v>16</v>
      </c>
      <c r="J1155" t="s">
        <v>854</v>
      </c>
      <c r="L1155" t="s">
        <v>18</v>
      </c>
      <c r="M1155" t="s">
        <v>245</v>
      </c>
    </row>
    <row r="1156" spans="2:13" x14ac:dyDescent="0.25">
      <c r="B1156" t="s">
        <v>2241</v>
      </c>
      <c r="C1156">
        <v>18531125</v>
      </c>
      <c r="D1156" t="str">
        <f>"4607186890041"</f>
        <v>4607186890041</v>
      </c>
      <c r="E1156" t="s">
        <v>2319</v>
      </c>
      <c r="F1156" t="s">
        <v>194</v>
      </c>
      <c r="G1156">
        <v>1</v>
      </c>
      <c r="H1156" t="s">
        <v>18</v>
      </c>
      <c r="I1156" t="s">
        <v>16</v>
      </c>
      <c r="J1156" t="s">
        <v>892</v>
      </c>
      <c r="L1156" t="s">
        <v>18</v>
      </c>
      <c r="M1156" t="s">
        <v>2320</v>
      </c>
    </row>
    <row r="1157" spans="2:13" x14ac:dyDescent="0.25">
      <c r="B1157" t="s">
        <v>2241</v>
      </c>
      <c r="C1157">
        <v>18565683</v>
      </c>
      <c r="D1157" t="str">
        <f>"6931234573562"</f>
        <v>6931234573562</v>
      </c>
      <c r="E1157" t="s">
        <v>2321</v>
      </c>
      <c r="F1157" t="s">
        <v>310</v>
      </c>
      <c r="G1157">
        <v>1</v>
      </c>
      <c r="H1157" t="s">
        <v>18</v>
      </c>
      <c r="I1157" t="s">
        <v>16</v>
      </c>
      <c r="J1157" t="s">
        <v>239</v>
      </c>
      <c r="L1157" t="s">
        <v>18</v>
      </c>
      <c r="M1157" t="s">
        <v>2203</v>
      </c>
    </row>
    <row r="1158" spans="2:13" x14ac:dyDescent="0.25">
      <c r="B1158" t="s">
        <v>2241</v>
      </c>
      <c r="C1158">
        <v>18565691</v>
      </c>
      <c r="D1158" t="str">
        <f>"6931234573579"</f>
        <v>6931234573579</v>
      </c>
      <c r="E1158" t="s">
        <v>2322</v>
      </c>
      <c r="F1158" t="s">
        <v>185</v>
      </c>
      <c r="G1158">
        <v>1</v>
      </c>
      <c r="H1158" t="s">
        <v>18</v>
      </c>
      <c r="I1158" t="s">
        <v>16</v>
      </c>
      <c r="J1158" t="s">
        <v>239</v>
      </c>
      <c r="L1158" t="s">
        <v>18</v>
      </c>
      <c r="M1158" t="s">
        <v>2016</v>
      </c>
    </row>
    <row r="1159" spans="2:13" x14ac:dyDescent="0.25">
      <c r="B1159" t="s">
        <v>2241</v>
      </c>
      <c r="C1159">
        <v>18565704</v>
      </c>
      <c r="D1159" t="str">
        <f>"6931234573586"</f>
        <v>6931234573586</v>
      </c>
      <c r="E1159" t="s">
        <v>2323</v>
      </c>
      <c r="F1159" t="s">
        <v>406</v>
      </c>
      <c r="G1159">
        <v>1</v>
      </c>
      <c r="H1159" t="s">
        <v>18</v>
      </c>
      <c r="I1159" t="s">
        <v>16</v>
      </c>
      <c r="J1159" t="s">
        <v>239</v>
      </c>
      <c r="L1159" t="s">
        <v>18</v>
      </c>
      <c r="M1159" t="s">
        <v>2324</v>
      </c>
    </row>
    <row r="1160" spans="2:13" x14ac:dyDescent="0.25">
      <c r="B1160" t="s">
        <v>2241</v>
      </c>
      <c r="C1160">
        <v>18565712</v>
      </c>
      <c r="D1160" t="str">
        <f>"6931234573593"</f>
        <v>6931234573593</v>
      </c>
      <c r="E1160" t="s">
        <v>2325</v>
      </c>
      <c r="F1160" t="s">
        <v>1524</v>
      </c>
      <c r="G1160">
        <v>1</v>
      </c>
      <c r="H1160" t="s">
        <v>18</v>
      </c>
      <c r="I1160" t="s">
        <v>16</v>
      </c>
      <c r="J1160" t="s">
        <v>239</v>
      </c>
      <c r="L1160" t="s">
        <v>18</v>
      </c>
      <c r="M1160" t="s">
        <v>1520</v>
      </c>
    </row>
    <row r="1161" spans="2:13" x14ac:dyDescent="0.25">
      <c r="B1161" t="s">
        <v>2241</v>
      </c>
      <c r="C1161">
        <v>18565721</v>
      </c>
      <c r="D1161" t="str">
        <f>"6931234573609"</f>
        <v>6931234573609</v>
      </c>
      <c r="E1161" t="s">
        <v>2326</v>
      </c>
      <c r="F1161" t="s">
        <v>525</v>
      </c>
      <c r="G1161">
        <v>1</v>
      </c>
      <c r="H1161" t="s">
        <v>18</v>
      </c>
      <c r="I1161" t="s">
        <v>16</v>
      </c>
      <c r="J1161" t="s">
        <v>239</v>
      </c>
      <c r="L1161" t="s">
        <v>18</v>
      </c>
      <c r="M1161" t="s">
        <v>1644</v>
      </c>
    </row>
    <row r="1162" spans="2:13" x14ac:dyDescent="0.25">
      <c r="B1162" t="s">
        <v>2241</v>
      </c>
      <c r="C1162">
        <v>18646580</v>
      </c>
      <c r="D1162" t="str">
        <f>"8595593006772"</f>
        <v>8595593006772</v>
      </c>
      <c r="E1162" t="s">
        <v>2327</v>
      </c>
      <c r="F1162" t="s">
        <v>1016</v>
      </c>
      <c r="G1162">
        <v>1</v>
      </c>
      <c r="H1162" t="s">
        <v>18</v>
      </c>
      <c r="I1162" t="s">
        <v>16</v>
      </c>
      <c r="J1162" t="s">
        <v>1150</v>
      </c>
      <c r="L1162" t="s">
        <v>18</v>
      </c>
      <c r="M1162" t="s">
        <v>2328</v>
      </c>
    </row>
    <row r="1163" spans="2:13" x14ac:dyDescent="0.25">
      <c r="B1163" t="s">
        <v>2241</v>
      </c>
      <c r="C1163">
        <v>18646598</v>
      </c>
      <c r="D1163" t="str">
        <f>"8595593006789"</f>
        <v>8595593006789</v>
      </c>
      <c r="E1163" t="s">
        <v>2329</v>
      </c>
      <c r="F1163" t="s">
        <v>971</v>
      </c>
      <c r="G1163">
        <v>1</v>
      </c>
      <c r="H1163" t="s">
        <v>18</v>
      </c>
      <c r="I1163" t="s">
        <v>16</v>
      </c>
      <c r="J1163" t="s">
        <v>1150</v>
      </c>
      <c r="L1163" t="s">
        <v>18</v>
      </c>
      <c r="M1163" t="s">
        <v>2330</v>
      </c>
    </row>
    <row r="1164" spans="2:13" x14ac:dyDescent="0.25">
      <c r="B1164" t="s">
        <v>2241</v>
      </c>
      <c r="C1164">
        <v>18646601</v>
      </c>
      <c r="D1164" t="str">
        <f>"8595593006796"</f>
        <v>8595593006796</v>
      </c>
      <c r="E1164" t="s">
        <v>2331</v>
      </c>
      <c r="F1164" t="s">
        <v>1960</v>
      </c>
      <c r="G1164">
        <v>1</v>
      </c>
      <c r="H1164" t="s">
        <v>18</v>
      </c>
      <c r="I1164" t="s">
        <v>16</v>
      </c>
      <c r="J1164" t="s">
        <v>1150</v>
      </c>
      <c r="L1164" t="s">
        <v>18</v>
      </c>
      <c r="M1164" t="s">
        <v>2330</v>
      </c>
    </row>
    <row r="1165" spans="2:13" x14ac:dyDescent="0.25">
      <c r="B1165" t="s">
        <v>2241</v>
      </c>
      <c r="C1165">
        <v>18646619</v>
      </c>
      <c r="D1165" t="str">
        <f>"8595593006802"</f>
        <v>8595593006802</v>
      </c>
      <c r="E1165" t="s">
        <v>2332</v>
      </c>
      <c r="F1165" t="s">
        <v>2333</v>
      </c>
      <c r="G1165">
        <v>1</v>
      </c>
      <c r="H1165" t="s">
        <v>18</v>
      </c>
      <c r="I1165" t="s">
        <v>16</v>
      </c>
      <c r="J1165" t="s">
        <v>1150</v>
      </c>
      <c r="L1165" t="s">
        <v>18</v>
      </c>
      <c r="M1165" t="s">
        <v>934</v>
      </c>
    </row>
    <row r="1166" spans="2:13" x14ac:dyDescent="0.25">
      <c r="B1166" t="s">
        <v>2334</v>
      </c>
      <c r="C1166">
        <v>15630881</v>
      </c>
      <c r="D1166" t="str">
        <f>"8595593005379"</f>
        <v>8595593005379</v>
      </c>
      <c r="E1166" t="s">
        <v>2335</v>
      </c>
      <c r="F1166" t="s">
        <v>649</v>
      </c>
      <c r="G1166">
        <v>1</v>
      </c>
      <c r="H1166" t="s">
        <v>18</v>
      </c>
      <c r="I1166" t="s">
        <v>16</v>
      </c>
      <c r="J1166" t="s">
        <v>1150</v>
      </c>
      <c r="L1166" t="s">
        <v>18</v>
      </c>
      <c r="M1166" t="s">
        <v>1729</v>
      </c>
    </row>
    <row r="1167" spans="2:13" x14ac:dyDescent="0.25">
      <c r="B1167" t="s">
        <v>2334</v>
      </c>
      <c r="C1167">
        <v>15630890</v>
      </c>
      <c r="D1167" t="str">
        <f>"8595593005386"</f>
        <v>8595593005386</v>
      </c>
      <c r="E1167" t="s">
        <v>2336</v>
      </c>
      <c r="F1167" t="s">
        <v>1239</v>
      </c>
      <c r="G1167">
        <v>1</v>
      </c>
      <c r="H1167" t="s">
        <v>18</v>
      </c>
      <c r="I1167" t="s">
        <v>16</v>
      </c>
      <c r="J1167" t="s">
        <v>1150</v>
      </c>
      <c r="L1167" t="s">
        <v>18</v>
      </c>
      <c r="M1167" t="s">
        <v>1540</v>
      </c>
    </row>
    <row r="1168" spans="2:13" x14ac:dyDescent="0.25">
      <c r="B1168" t="s">
        <v>2334</v>
      </c>
      <c r="C1168">
        <v>15630902</v>
      </c>
      <c r="D1168" t="str">
        <f>"8595593005393"</f>
        <v>8595593005393</v>
      </c>
      <c r="E1168" t="s">
        <v>2337</v>
      </c>
      <c r="F1168" t="s">
        <v>174</v>
      </c>
      <c r="G1168">
        <v>1</v>
      </c>
      <c r="H1168" t="s">
        <v>18</v>
      </c>
      <c r="I1168" t="s">
        <v>16</v>
      </c>
      <c r="J1168" t="s">
        <v>1150</v>
      </c>
      <c r="L1168" t="s">
        <v>18</v>
      </c>
      <c r="M1168" t="s">
        <v>2338</v>
      </c>
    </row>
    <row r="1169" spans="2:13" x14ac:dyDescent="0.25">
      <c r="B1169" t="s">
        <v>2334</v>
      </c>
      <c r="C1169">
        <v>15630911</v>
      </c>
      <c r="D1169" t="str">
        <f>"8595593000107"</f>
        <v>8595593000107</v>
      </c>
      <c r="E1169" t="s">
        <v>2339</v>
      </c>
      <c r="F1169" t="s">
        <v>185</v>
      </c>
      <c r="G1169">
        <v>1</v>
      </c>
      <c r="H1169" t="s">
        <v>18</v>
      </c>
      <c r="I1169" t="s">
        <v>16</v>
      </c>
      <c r="J1169" t="s">
        <v>1150</v>
      </c>
      <c r="L1169" t="s">
        <v>18</v>
      </c>
      <c r="M1169" t="s">
        <v>2340</v>
      </c>
    </row>
    <row r="1170" spans="2:13" x14ac:dyDescent="0.25">
      <c r="B1170" t="s">
        <v>2334</v>
      </c>
      <c r="C1170">
        <v>15630929</v>
      </c>
      <c r="D1170" t="str">
        <f>"8595593000398"</f>
        <v>8595593000398</v>
      </c>
      <c r="E1170" t="s">
        <v>2341</v>
      </c>
      <c r="F1170" t="s">
        <v>649</v>
      </c>
      <c r="G1170">
        <v>1</v>
      </c>
      <c r="H1170" t="s">
        <v>18</v>
      </c>
      <c r="I1170" t="s">
        <v>16</v>
      </c>
      <c r="J1170" t="s">
        <v>1150</v>
      </c>
      <c r="L1170" t="s">
        <v>18</v>
      </c>
      <c r="M1170" t="s">
        <v>1597</v>
      </c>
    </row>
    <row r="1171" spans="2:13" x14ac:dyDescent="0.25">
      <c r="B1171" t="s">
        <v>2334</v>
      </c>
      <c r="C1171">
        <v>15630937</v>
      </c>
      <c r="D1171" t="str">
        <f>"8595593000404"</f>
        <v>8595593000404</v>
      </c>
      <c r="E1171" t="s">
        <v>2342</v>
      </c>
      <c r="F1171" t="s">
        <v>485</v>
      </c>
      <c r="G1171">
        <v>0</v>
      </c>
      <c r="H1171" t="s">
        <v>18</v>
      </c>
      <c r="I1171" t="s">
        <v>16</v>
      </c>
      <c r="J1171" t="s">
        <v>1150</v>
      </c>
      <c r="K1171" s="1">
        <v>42983</v>
      </c>
      <c r="L1171" t="s">
        <v>18</v>
      </c>
      <c r="M1171" t="s">
        <v>2343</v>
      </c>
    </row>
    <row r="1172" spans="2:13" x14ac:dyDescent="0.25">
      <c r="B1172" t="s">
        <v>2334</v>
      </c>
      <c r="C1172">
        <v>15630945</v>
      </c>
      <c r="D1172" t="str">
        <f>"8595593000381"</f>
        <v>8595593000381</v>
      </c>
      <c r="E1172" t="s">
        <v>2344</v>
      </c>
      <c r="F1172" t="s">
        <v>170</v>
      </c>
      <c r="G1172">
        <v>1</v>
      </c>
      <c r="H1172" t="s">
        <v>18</v>
      </c>
      <c r="I1172" t="s">
        <v>16</v>
      </c>
      <c r="J1172" t="s">
        <v>1150</v>
      </c>
      <c r="L1172" t="s">
        <v>18</v>
      </c>
      <c r="M1172" t="s">
        <v>2345</v>
      </c>
    </row>
    <row r="1173" spans="2:13" x14ac:dyDescent="0.25">
      <c r="B1173" t="s">
        <v>2334</v>
      </c>
      <c r="C1173">
        <v>15630970</v>
      </c>
      <c r="D1173" t="str">
        <f>"8595593005423"</f>
        <v>8595593005423</v>
      </c>
      <c r="E1173" t="s">
        <v>2346</v>
      </c>
      <c r="F1173" t="s">
        <v>24</v>
      </c>
      <c r="G1173">
        <v>0</v>
      </c>
      <c r="H1173" t="s">
        <v>18</v>
      </c>
      <c r="I1173" t="s">
        <v>16</v>
      </c>
      <c r="J1173" t="s">
        <v>1150</v>
      </c>
      <c r="K1173" s="1">
        <v>42946</v>
      </c>
      <c r="L1173" t="s">
        <v>18</v>
      </c>
      <c r="M1173" t="s">
        <v>2347</v>
      </c>
    </row>
    <row r="1174" spans="2:13" x14ac:dyDescent="0.25">
      <c r="B1174" t="s">
        <v>2334</v>
      </c>
      <c r="C1174">
        <v>15630988</v>
      </c>
      <c r="D1174" t="str">
        <f>"8595593005430"</f>
        <v>8595593005430</v>
      </c>
      <c r="E1174" t="s">
        <v>2348</v>
      </c>
      <c r="F1174" t="s">
        <v>34</v>
      </c>
      <c r="G1174">
        <v>0</v>
      </c>
      <c r="H1174" t="s">
        <v>18</v>
      </c>
      <c r="I1174" t="s">
        <v>754</v>
      </c>
      <c r="J1174" t="s">
        <v>1150</v>
      </c>
      <c r="K1174" s="1">
        <v>42901</v>
      </c>
      <c r="L1174" t="s">
        <v>18</v>
      </c>
      <c r="M1174" t="s">
        <v>2349</v>
      </c>
    </row>
    <row r="1175" spans="2:13" x14ac:dyDescent="0.25">
      <c r="B1175" t="s">
        <v>2334</v>
      </c>
      <c r="C1175">
        <v>15631016</v>
      </c>
      <c r="D1175" t="str">
        <f>"8595593005461"</f>
        <v>8595593005461</v>
      </c>
      <c r="E1175" t="s">
        <v>2350</v>
      </c>
      <c r="F1175" t="s">
        <v>40</v>
      </c>
      <c r="G1175">
        <v>1</v>
      </c>
      <c r="H1175" t="s">
        <v>18</v>
      </c>
      <c r="I1175" t="s">
        <v>51</v>
      </c>
      <c r="J1175" t="s">
        <v>1150</v>
      </c>
      <c r="L1175" t="s">
        <v>18</v>
      </c>
      <c r="M1175" t="s">
        <v>2351</v>
      </c>
    </row>
    <row r="1176" spans="2:13" x14ac:dyDescent="0.25">
      <c r="B1176" t="s">
        <v>2334</v>
      </c>
      <c r="C1176">
        <v>16345290</v>
      </c>
      <c r="D1176" t="str">
        <f>"3276005180741"</f>
        <v>3276005180741</v>
      </c>
      <c r="E1176" t="s">
        <v>2352</v>
      </c>
      <c r="F1176" t="s">
        <v>1731</v>
      </c>
      <c r="G1176">
        <v>1</v>
      </c>
      <c r="H1176" t="s">
        <v>18</v>
      </c>
      <c r="I1176" t="s">
        <v>16</v>
      </c>
      <c r="J1176" t="s">
        <v>17</v>
      </c>
      <c r="L1176" t="s">
        <v>18</v>
      </c>
      <c r="M1176" t="s">
        <v>786</v>
      </c>
    </row>
    <row r="1177" spans="2:13" x14ac:dyDescent="0.25">
      <c r="B1177" t="s">
        <v>2334</v>
      </c>
      <c r="C1177">
        <v>16345302</v>
      </c>
      <c r="D1177" t="str">
        <f>"3276005180581"</f>
        <v>3276005180581</v>
      </c>
      <c r="E1177" t="s">
        <v>2353</v>
      </c>
      <c r="F1177" t="s">
        <v>40</v>
      </c>
      <c r="G1177">
        <v>1</v>
      </c>
      <c r="H1177" t="s">
        <v>18</v>
      </c>
      <c r="I1177" t="s">
        <v>16</v>
      </c>
      <c r="J1177" t="s">
        <v>17</v>
      </c>
      <c r="L1177" t="s">
        <v>18</v>
      </c>
      <c r="M1177" t="s">
        <v>786</v>
      </c>
    </row>
    <row r="1178" spans="2:13" x14ac:dyDescent="0.25">
      <c r="B1178" t="s">
        <v>2334</v>
      </c>
      <c r="C1178">
        <v>16345311</v>
      </c>
      <c r="D1178" t="str">
        <f>"3276005170711"</f>
        <v>3276005170711</v>
      </c>
      <c r="E1178" t="s">
        <v>2354</v>
      </c>
      <c r="F1178" t="s">
        <v>1531</v>
      </c>
      <c r="G1178">
        <v>1</v>
      </c>
      <c r="H1178" t="s">
        <v>18</v>
      </c>
      <c r="I1178" t="s">
        <v>16</v>
      </c>
      <c r="J1178" t="s">
        <v>17</v>
      </c>
      <c r="L1178" t="s">
        <v>18</v>
      </c>
      <c r="M1178" t="s">
        <v>786</v>
      </c>
    </row>
    <row r="1179" spans="2:13" x14ac:dyDescent="0.25">
      <c r="B1179" t="s">
        <v>2334</v>
      </c>
      <c r="C1179">
        <v>16345329</v>
      </c>
      <c r="D1179" t="str">
        <f>"3276005170636"</f>
        <v>3276005170636</v>
      </c>
      <c r="E1179" t="s">
        <v>2355</v>
      </c>
      <c r="F1179" t="s">
        <v>1594</v>
      </c>
      <c r="G1179">
        <v>1</v>
      </c>
      <c r="H1179" t="s">
        <v>18</v>
      </c>
      <c r="I1179" t="s">
        <v>16</v>
      </c>
      <c r="J1179" t="s">
        <v>17</v>
      </c>
      <c r="L1179" t="s">
        <v>18</v>
      </c>
      <c r="M1179" t="s">
        <v>786</v>
      </c>
    </row>
    <row r="1180" spans="2:13" x14ac:dyDescent="0.25">
      <c r="B1180" t="s">
        <v>2356</v>
      </c>
      <c r="C1180">
        <v>16542293</v>
      </c>
      <c r="D1180" t="str">
        <f>"3276005632172"</f>
        <v>3276005632172</v>
      </c>
      <c r="E1180" t="s">
        <v>2357</v>
      </c>
      <c r="F1180" t="s">
        <v>366</v>
      </c>
      <c r="G1180">
        <v>1</v>
      </c>
      <c r="H1180" t="s">
        <v>18</v>
      </c>
      <c r="I1180" t="s">
        <v>16</v>
      </c>
      <c r="J1180" t="s">
        <v>17</v>
      </c>
      <c r="L1180" t="s">
        <v>18</v>
      </c>
      <c r="M1180" t="s">
        <v>773</v>
      </c>
    </row>
    <row r="1181" spans="2:13" x14ac:dyDescent="0.25">
      <c r="B1181" t="s">
        <v>2356</v>
      </c>
      <c r="C1181">
        <v>16542306</v>
      </c>
      <c r="D1181" t="str">
        <f>"3276005632134"</f>
        <v>3276005632134</v>
      </c>
      <c r="E1181" t="s">
        <v>2358</v>
      </c>
      <c r="F1181" t="s">
        <v>971</v>
      </c>
      <c r="G1181">
        <v>1</v>
      </c>
      <c r="H1181" t="s">
        <v>18</v>
      </c>
      <c r="I1181" t="s">
        <v>16</v>
      </c>
      <c r="J1181" t="s">
        <v>17</v>
      </c>
      <c r="L1181" t="s">
        <v>18</v>
      </c>
      <c r="M1181" t="s">
        <v>2359</v>
      </c>
    </row>
    <row r="1182" spans="2:13" x14ac:dyDescent="0.25">
      <c r="B1182" t="s">
        <v>2356</v>
      </c>
      <c r="C1182">
        <v>16543296</v>
      </c>
      <c r="D1182" t="str">
        <f>"3276005632097"</f>
        <v>3276005632097</v>
      </c>
      <c r="E1182" t="s">
        <v>2360</v>
      </c>
      <c r="F1182" t="s">
        <v>40</v>
      </c>
      <c r="G1182">
        <v>1</v>
      </c>
      <c r="H1182" t="s">
        <v>18</v>
      </c>
      <c r="I1182" t="s">
        <v>16</v>
      </c>
      <c r="J1182" t="s">
        <v>17</v>
      </c>
      <c r="L1182" t="s">
        <v>18</v>
      </c>
      <c r="M1182" t="s">
        <v>2174</v>
      </c>
    </row>
    <row r="1183" spans="2:13" x14ac:dyDescent="0.25">
      <c r="B1183" t="s">
        <v>2356</v>
      </c>
      <c r="C1183">
        <v>16543309</v>
      </c>
      <c r="D1183" t="str">
        <f>"3276005632059"</f>
        <v>3276005632059</v>
      </c>
      <c r="E1183" t="s">
        <v>2361</v>
      </c>
      <c r="F1183" t="s">
        <v>410</v>
      </c>
      <c r="G1183">
        <v>1</v>
      </c>
      <c r="H1183" t="s">
        <v>18</v>
      </c>
      <c r="I1183" t="s">
        <v>16</v>
      </c>
      <c r="J1183" t="s">
        <v>17</v>
      </c>
      <c r="L1183" t="s">
        <v>18</v>
      </c>
      <c r="M1183" t="s">
        <v>781</v>
      </c>
    </row>
    <row r="1184" spans="2:13" x14ac:dyDescent="0.25">
      <c r="B1184" t="s">
        <v>2356</v>
      </c>
      <c r="C1184">
        <v>16543325</v>
      </c>
      <c r="D1184" t="str">
        <f>"3276005632011"</f>
        <v>3276005632011</v>
      </c>
      <c r="E1184" t="s">
        <v>2362</v>
      </c>
      <c r="F1184" t="s">
        <v>406</v>
      </c>
      <c r="G1184">
        <v>1</v>
      </c>
      <c r="H1184" t="s">
        <v>18</v>
      </c>
      <c r="I1184" t="s">
        <v>16</v>
      </c>
      <c r="J1184" t="s">
        <v>17</v>
      </c>
      <c r="L1184" t="s">
        <v>18</v>
      </c>
      <c r="M1184" t="s">
        <v>2345</v>
      </c>
    </row>
    <row r="1185" spans="2:13" x14ac:dyDescent="0.25">
      <c r="B1185" t="s">
        <v>2363</v>
      </c>
      <c r="C1185">
        <v>13952377</v>
      </c>
      <c r="D1185" t="str">
        <f>"6931234571391"</f>
        <v>6931234571391</v>
      </c>
      <c r="E1185" t="s">
        <v>2364</v>
      </c>
      <c r="F1185" t="s">
        <v>2144</v>
      </c>
      <c r="G1185">
        <v>1</v>
      </c>
      <c r="H1185" t="s">
        <v>18</v>
      </c>
      <c r="I1185" t="s">
        <v>16</v>
      </c>
      <c r="J1185" t="s">
        <v>239</v>
      </c>
      <c r="L1185" t="s">
        <v>18</v>
      </c>
      <c r="M1185" t="s">
        <v>2365</v>
      </c>
    </row>
    <row r="1186" spans="2:13" x14ac:dyDescent="0.25">
      <c r="B1186" t="s">
        <v>2363</v>
      </c>
      <c r="C1186">
        <v>13952406</v>
      </c>
      <c r="D1186" t="str">
        <f>"6931234571360"</f>
        <v>6931234571360</v>
      </c>
      <c r="E1186" t="s">
        <v>2366</v>
      </c>
      <c r="F1186" t="s">
        <v>1731</v>
      </c>
      <c r="G1186">
        <v>1</v>
      </c>
      <c r="H1186" t="s">
        <v>18</v>
      </c>
      <c r="I1186" t="s">
        <v>16</v>
      </c>
      <c r="J1186" t="s">
        <v>239</v>
      </c>
      <c r="L1186" t="s">
        <v>18</v>
      </c>
      <c r="M1186" t="s">
        <v>2109</v>
      </c>
    </row>
    <row r="1187" spans="2:13" x14ac:dyDescent="0.25">
      <c r="B1187" t="s">
        <v>2363</v>
      </c>
      <c r="C1187">
        <v>13952430</v>
      </c>
      <c r="D1187" t="str">
        <f>"6931234571384"</f>
        <v>6931234571384</v>
      </c>
      <c r="E1187" t="s">
        <v>2367</v>
      </c>
      <c r="F1187" t="s">
        <v>1881</v>
      </c>
      <c r="G1187">
        <v>1</v>
      </c>
      <c r="H1187" t="s">
        <v>18</v>
      </c>
      <c r="I1187" t="s">
        <v>16</v>
      </c>
      <c r="J1187" t="s">
        <v>239</v>
      </c>
      <c r="L1187" t="s">
        <v>18</v>
      </c>
      <c r="M1187" t="s">
        <v>2368</v>
      </c>
    </row>
    <row r="1188" spans="2:13" x14ac:dyDescent="0.25">
      <c r="B1188" t="s">
        <v>2363</v>
      </c>
      <c r="C1188">
        <v>17109504</v>
      </c>
      <c r="D1188" t="str">
        <f>"4680018341553"</f>
        <v>4680018341553</v>
      </c>
      <c r="E1188" t="s">
        <v>2369</v>
      </c>
      <c r="F1188" t="s">
        <v>1418</v>
      </c>
      <c r="G1188">
        <v>1</v>
      </c>
      <c r="H1188" t="s">
        <v>18</v>
      </c>
      <c r="I1188" t="s">
        <v>16</v>
      </c>
      <c r="J1188" t="s">
        <v>1682</v>
      </c>
      <c r="L1188" t="s">
        <v>18</v>
      </c>
      <c r="M1188" t="s">
        <v>2230</v>
      </c>
    </row>
    <row r="1189" spans="2:13" x14ac:dyDescent="0.25">
      <c r="B1189" t="s">
        <v>2363</v>
      </c>
      <c r="C1189">
        <v>17109977</v>
      </c>
      <c r="D1189" t="str">
        <f>"4680018341607"</f>
        <v>4680018341607</v>
      </c>
      <c r="E1189" t="s">
        <v>2370</v>
      </c>
      <c r="F1189" t="s">
        <v>749</v>
      </c>
      <c r="G1189">
        <v>1</v>
      </c>
      <c r="H1189" t="s">
        <v>18</v>
      </c>
      <c r="I1189" t="s">
        <v>16</v>
      </c>
      <c r="J1189" t="s">
        <v>1682</v>
      </c>
      <c r="L1189" t="s">
        <v>18</v>
      </c>
      <c r="M1189" t="s">
        <v>2371</v>
      </c>
    </row>
    <row r="1190" spans="2:13" x14ac:dyDescent="0.25">
      <c r="B1190" t="s">
        <v>2363</v>
      </c>
      <c r="C1190">
        <v>17109993</v>
      </c>
      <c r="D1190" t="str">
        <f>"4680018341546"</f>
        <v>4680018341546</v>
      </c>
      <c r="E1190" t="s">
        <v>2372</v>
      </c>
      <c r="F1190" t="s">
        <v>277</v>
      </c>
      <c r="G1190">
        <v>1</v>
      </c>
      <c r="H1190" t="s">
        <v>18</v>
      </c>
      <c r="I1190" t="s">
        <v>16</v>
      </c>
      <c r="J1190" t="s">
        <v>1682</v>
      </c>
      <c r="L1190" t="s">
        <v>18</v>
      </c>
      <c r="M1190" t="s">
        <v>2232</v>
      </c>
    </row>
    <row r="1191" spans="2:13" x14ac:dyDescent="0.25">
      <c r="B1191" t="s">
        <v>2363</v>
      </c>
      <c r="C1191">
        <v>17537488</v>
      </c>
      <c r="D1191" t="str">
        <f>"4660015184001"</f>
        <v>4660015184001</v>
      </c>
      <c r="E1191" t="s">
        <v>2373</v>
      </c>
      <c r="F1191" t="s">
        <v>413</v>
      </c>
      <c r="G1191">
        <v>1</v>
      </c>
      <c r="H1191" t="s">
        <v>18</v>
      </c>
      <c r="I1191" t="s">
        <v>16</v>
      </c>
      <c r="J1191" t="s">
        <v>1556</v>
      </c>
      <c r="L1191" t="s">
        <v>18</v>
      </c>
      <c r="M1191" t="s">
        <v>2374</v>
      </c>
    </row>
    <row r="1192" spans="2:13" x14ac:dyDescent="0.25">
      <c r="B1192" t="s">
        <v>2363</v>
      </c>
      <c r="C1192">
        <v>17537496</v>
      </c>
      <c r="D1192" t="str">
        <f>"4660015185855"</f>
        <v>4660015185855</v>
      </c>
      <c r="E1192" t="s">
        <v>2375</v>
      </c>
      <c r="F1192" t="s">
        <v>227</v>
      </c>
      <c r="G1192">
        <v>1</v>
      </c>
      <c r="H1192" t="s">
        <v>18</v>
      </c>
      <c r="I1192" t="s">
        <v>16</v>
      </c>
      <c r="J1192" t="s">
        <v>1556</v>
      </c>
      <c r="L1192" t="s">
        <v>18</v>
      </c>
      <c r="M1192" t="s">
        <v>2376</v>
      </c>
    </row>
    <row r="1193" spans="2:13" x14ac:dyDescent="0.25">
      <c r="B1193" t="s">
        <v>2363</v>
      </c>
      <c r="C1193">
        <v>17537509</v>
      </c>
      <c r="D1193" t="str">
        <f>"4660015184148"</f>
        <v>4660015184148</v>
      </c>
      <c r="E1193" t="s">
        <v>2377</v>
      </c>
      <c r="F1193" t="s">
        <v>1239</v>
      </c>
      <c r="G1193">
        <v>1</v>
      </c>
      <c r="H1193" t="s">
        <v>18</v>
      </c>
      <c r="I1193" t="s">
        <v>16</v>
      </c>
      <c r="J1193" t="s">
        <v>1556</v>
      </c>
      <c r="L1193" t="s">
        <v>18</v>
      </c>
      <c r="M1193" t="s">
        <v>2109</v>
      </c>
    </row>
    <row r="1194" spans="2:13" x14ac:dyDescent="0.25">
      <c r="B1194" t="s">
        <v>2363</v>
      </c>
      <c r="C1194">
        <v>17537517</v>
      </c>
      <c r="D1194" t="str">
        <f>"4660015184223"</f>
        <v>4660015184223</v>
      </c>
      <c r="E1194" t="s">
        <v>2378</v>
      </c>
      <c r="F1194" t="s">
        <v>185</v>
      </c>
      <c r="G1194">
        <v>1</v>
      </c>
      <c r="H1194" t="s">
        <v>18</v>
      </c>
      <c r="I1194" t="s">
        <v>16</v>
      </c>
      <c r="J1194" t="s">
        <v>1556</v>
      </c>
      <c r="L1194" t="s">
        <v>18</v>
      </c>
      <c r="M1194" t="s">
        <v>2134</v>
      </c>
    </row>
    <row r="1195" spans="2:13" x14ac:dyDescent="0.25">
      <c r="B1195" t="s">
        <v>2363</v>
      </c>
      <c r="C1195">
        <v>17537525</v>
      </c>
      <c r="D1195" t="str">
        <f>"4660015184285"</f>
        <v>4660015184285</v>
      </c>
      <c r="E1195" t="s">
        <v>2379</v>
      </c>
      <c r="F1195" t="s">
        <v>973</v>
      </c>
      <c r="G1195">
        <v>1</v>
      </c>
      <c r="H1195" t="s">
        <v>18</v>
      </c>
      <c r="I1195" t="s">
        <v>16</v>
      </c>
      <c r="J1195" t="s">
        <v>1556</v>
      </c>
      <c r="L1195" t="s">
        <v>18</v>
      </c>
      <c r="M1195" t="s">
        <v>843</v>
      </c>
    </row>
    <row r="1196" spans="2:13" x14ac:dyDescent="0.25">
      <c r="B1196" t="s">
        <v>2380</v>
      </c>
      <c r="C1196">
        <v>13855868</v>
      </c>
      <c r="D1196" t="str">
        <f>"4620765853107"</f>
        <v>4620765853107</v>
      </c>
      <c r="E1196" t="s">
        <v>2381</v>
      </c>
      <c r="F1196" t="s">
        <v>174</v>
      </c>
      <c r="G1196">
        <v>1</v>
      </c>
      <c r="H1196" t="s">
        <v>18</v>
      </c>
      <c r="I1196" t="s">
        <v>16</v>
      </c>
      <c r="J1196" t="s">
        <v>854</v>
      </c>
      <c r="L1196" t="s">
        <v>18</v>
      </c>
      <c r="M1196" t="s">
        <v>2382</v>
      </c>
    </row>
    <row r="1197" spans="2:13" x14ac:dyDescent="0.25">
      <c r="B1197" t="s">
        <v>2380</v>
      </c>
      <c r="C1197">
        <v>14024353</v>
      </c>
      <c r="D1197" t="str">
        <f>"6931234571520"</f>
        <v>6931234571520</v>
      </c>
      <c r="E1197" t="s">
        <v>2383</v>
      </c>
      <c r="F1197" t="s">
        <v>609</v>
      </c>
      <c r="G1197">
        <v>1</v>
      </c>
      <c r="H1197" t="s">
        <v>18</v>
      </c>
      <c r="I1197" t="s">
        <v>16</v>
      </c>
      <c r="J1197" t="s">
        <v>239</v>
      </c>
      <c r="L1197" t="s">
        <v>18</v>
      </c>
      <c r="M1197" t="s">
        <v>1965</v>
      </c>
    </row>
    <row r="1198" spans="2:13" x14ac:dyDescent="0.25">
      <c r="B1198" t="s">
        <v>2380</v>
      </c>
      <c r="C1198">
        <v>14024361</v>
      </c>
      <c r="D1198" t="str">
        <f>"6931234571537"</f>
        <v>6931234571537</v>
      </c>
      <c r="E1198" t="s">
        <v>2384</v>
      </c>
      <c r="F1198" t="s">
        <v>227</v>
      </c>
      <c r="G1198">
        <v>1</v>
      </c>
      <c r="H1198" t="s">
        <v>18</v>
      </c>
      <c r="I1198" t="s">
        <v>16</v>
      </c>
      <c r="J1198" t="s">
        <v>239</v>
      </c>
      <c r="L1198" t="s">
        <v>18</v>
      </c>
      <c r="M1198" t="s">
        <v>237</v>
      </c>
    </row>
    <row r="1199" spans="2:13" x14ac:dyDescent="0.25">
      <c r="B1199" t="s">
        <v>2380</v>
      </c>
      <c r="C1199">
        <v>14024388</v>
      </c>
      <c r="D1199" t="str">
        <f>"6931234571544"</f>
        <v>6931234571544</v>
      </c>
      <c r="E1199" t="s">
        <v>2385</v>
      </c>
      <c r="F1199" t="s">
        <v>40</v>
      </c>
      <c r="G1199">
        <v>1</v>
      </c>
      <c r="H1199" t="s">
        <v>18</v>
      </c>
      <c r="I1199" t="s">
        <v>16</v>
      </c>
      <c r="J1199" t="s">
        <v>239</v>
      </c>
      <c r="L1199" t="s">
        <v>18</v>
      </c>
      <c r="M1199" t="s">
        <v>1980</v>
      </c>
    </row>
    <row r="1200" spans="2:13" x14ac:dyDescent="0.25">
      <c r="B1200" t="s">
        <v>2380</v>
      </c>
      <c r="C1200">
        <v>14024396</v>
      </c>
      <c r="D1200" t="str">
        <f>"6931234571551"</f>
        <v>6931234571551</v>
      </c>
      <c r="E1200" t="s">
        <v>2386</v>
      </c>
      <c r="F1200" t="s">
        <v>425</v>
      </c>
      <c r="G1200">
        <v>1</v>
      </c>
      <c r="H1200" t="s">
        <v>18</v>
      </c>
      <c r="I1200" t="s">
        <v>16</v>
      </c>
      <c r="J1200" t="s">
        <v>239</v>
      </c>
      <c r="L1200" t="s">
        <v>18</v>
      </c>
      <c r="M1200" t="s">
        <v>1977</v>
      </c>
    </row>
    <row r="1201" spans="2:13" x14ac:dyDescent="0.25">
      <c r="B1201" t="s">
        <v>2380</v>
      </c>
      <c r="C1201">
        <v>15060444</v>
      </c>
      <c r="D1201" t="str">
        <f>"4627091391389"</f>
        <v>4627091391389</v>
      </c>
      <c r="E1201" t="s">
        <v>2387</v>
      </c>
      <c r="F1201" t="s">
        <v>227</v>
      </c>
      <c r="G1201">
        <v>1</v>
      </c>
      <c r="H1201" t="s">
        <v>18</v>
      </c>
      <c r="I1201" t="s">
        <v>16</v>
      </c>
      <c r="J1201" t="s">
        <v>854</v>
      </c>
      <c r="L1201" t="s">
        <v>18</v>
      </c>
      <c r="M1201" t="s">
        <v>1505</v>
      </c>
    </row>
    <row r="1202" spans="2:13" x14ac:dyDescent="0.25">
      <c r="B1202" t="s">
        <v>2380</v>
      </c>
      <c r="C1202">
        <v>15060452</v>
      </c>
      <c r="D1202" t="str">
        <f>"4627091391396"</f>
        <v>4627091391396</v>
      </c>
      <c r="E1202" t="s">
        <v>2388</v>
      </c>
      <c r="F1202" t="s">
        <v>1934</v>
      </c>
      <c r="G1202">
        <v>1</v>
      </c>
      <c r="H1202" t="s">
        <v>18</v>
      </c>
      <c r="I1202" t="s">
        <v>16</v>
      </c>
      <c r="J1202" t="s">
        <v>854</v>
      </c>
      <c r="L1202" t="s">
        <v>18</v>
      </c>
      <c r="M1202" t="s">
        <v>1729</v>
      </c>
    </row>
    <row r="1203" spans="2:13" x14ac:dyDescent="0.25">
      <c r="B1203" t="s">
        <v>2380</v>
      </c>
      <c r="C1203">
        <v>15060461</v>
      </c>
      <c r="D1203" t="str">
        <f>"4627091391402"</f>
        <v>4627091391402</v>
      </c>
      <c r="E1203" t="s">
        <v>2389</v>
      </c>
      <c r="F1203" t="s">
        <v>609</v>
      </c>
      <c r="G1203">
        <v>1</v>
      </c>
      <c r="H1203" t="s">
        <v>18</v>
      </c>
      <c r="I1203" t="s">
        <v>16</v>
      </c>
      <c r="J1203" t="s">
        <v>854</v>
      </c>
      <c r="L1203" t="s">
        <v>18</v>
      </c>
      <c r="M1203" t="s">
        <v>570</v>
      </c>
    </row>
    <row r="1204" spans="2:13" x14ac:dyDescent="0.25">
      <c r="B1204" t="s">
        <v>2380</v>
      </c>
      <c r="C1204">
        <v>15060479</v>
      </c>
      <c r="D1204" t="str">
        <f>"4627091391419"</f>
        <v>4627091391419</v>
      </c>
      <c r="E1204" t="s">
        <v>2390</v>
      </c>
      <c r="F1204" t="s">
        <v>310</v>
      </c>
      <c r="G1204">
        <v>1</v>
      </c>
      <c r="H1204" t="s">
        <v>18</v>
      </c>
      <c r="I1204" t="s">
        <v>16</v>
      </c>
      <c r="J1204" t="s">
        <v>854</v>
      </c>
      <c r="L1204" t="s">
        <v>18</v>
      </c>
      <c r="M1204" t="s">
        <v>877</v>
      </c>
    </row>
    <row r="1205" spans="2:13" x14ac:dyDescent="0.25">
      <c r="B1205" t="s">
        <v>2380</v>
      </c>
      <c r="C1205">
        <v>15900298</v>
      </c>
      <c r="D1205" t="str">
        <f>"3276005533202"</f>
        <v>3276005533202</v>
      </c>
      <c r="E1205" t="s">
        <v>2391</v>
      </c>
      <c r="F1205" t="s">
        <v>240</v>
      </c>
      <c r="G1205">
        <v>0</v>
      </c>
      <c r="H1205" t="s">
        <v>18</v>
      </c>
      <c r="I1205" t="s">
        <v>16</v>
      </c>
      <c r="J1205" t="s">
        <v>17</v>
      </c>
      <c r="L1205" t="s">
        <v>18</v>
      </c>
      <c r="M1205" t="s">
        <v>2392</v>
      </c>
    </row>
    <row r="1206" spans="2:13" x14ac:dyDescent="0.25">
      <c r="B1206" t="s">
        <v>2380</v>
      </c>
      <c r="C1206">
        <v>15900301</v>
      </c>
      <c r="D1206" t="str">
        <f>"3276005533165"</f>
        <v>3276005533165</v>
      </c>
      <c r="E1206" t="s">
        <v>2393</v>
      </c>
      <c r="F1206" t="s">
        <v>2248</v>
      </c>
      <c r="G1206">
        <v>1</v>
      </c>
      <c r="H1206" t="s">
        <v>18</v>
      </c>
      <c r="I1206" t="s">
        <v>16</v>
      </c>
      <c r="J1206" t="s">
        <v>28</v>
      </c>
      <c r="L1206" t="s">
        <v>18</v>
      </c>
      <c r="M1206" t="s">
        <v>2224</v>
      </c>
    </row>
    <row r="1207" spans="2:13" x14ac:dyDescent="0.25">
      <c r="B1207" t="s">
        <v>2380</v>
      </c>
      <c r="C1207">
        <v>15900319</v>
      </c>
      <c r="D1207" t="str">
        <f>"3276005533127"</f>
        <v>3276005533127</v>
      </c>
      <c r="E1207" t="s">
        <v>2394</v>
      </c>
      <c r="F1207" t="s">
        <v>971</v>
      </c>
      <c r="G1207">
        <v>1</v>
      </c>
      <c r="H1207" t="s">
        <v>18</v>
      </c>
      <c r="I1207" t="s">
        <v>16</v>
      </c>
      <c r="J1207" t="s">
        <v>28</v>
      </c>
      <c r="L1207" t="s">
        <v>18</v>
      </c>
      <c r="M1207" t="s">
        <v>2224</v>
      </c>
    </row>
    <row r="1208" spans="2:13" x14ac:dyDescent="0.25">
      <c r="B1208" t="s">
        <v>2380</v>
      </c>
      <c r="C1208">
        <v>15900327</v>
      </c>
      <c r="D1208" t="str">
        <f>"3276005533080"</f>
        <v>3276005533080</v>
      </c>
      <c r="E1208" t="s">
        <v>2395</v>
      </c>
      <c r="F1208" t="s">
        <v>525</v>
      </c>
      <c r="G1208">
        <v>0</v>
      </c>
      <c r="H1208" t="s">
        <v>18</v>
      </c>
      <c r="I1208" t="s">
        <v>16</v>
      </c>
      <c r="J1208" t="s">
        <v>17</v>
      </c>
      <c r="L1208" t="s">
        <v>18</v>
      </c>
      <c r="M1208" t="s">
        <v>2030</v>
      </c>
    </row>
    <row r="1209" spans="2:13" x14ac:dyDescent="0.25">
      <c r="B1209" t="s">
        <v>2380</v>
      </c>
      <c r="C1209">
        <v>15900335</v>
      </c>
      <c r="D1209" t="str">
        <f>"3276005533042"</f>
        <v>3276005533042</v>
      </c>
      <c r="E1209" t="s">
        <v>2396</v>
      </c>
      <c r="F1209" t="s">
        <v>242</v>
      </c>
      <c r="G1209">
        <v>1</v>
      </c>
      <c r="H1209" t="s">
        <v>18</v>
      </c>
      <c r="I1209" t="s">
        <v>16</v>
      </c>
      <c r="J1209" t="s">
        <v>17</v>
      </c>
      <c r="L1209" t="s">
        <v>18</v>
      </c>
      <c r="M1209" t="s">
        <v>2290</v>
      </c>
    </row>
    <row r="1210" spans="2:13" x14ac:dyDescent="0.25">
      <c r="B1210" t="s">
        <v>2380</v>
      </c>
      <c r="C1210">
        <v>15900343</v>
      </c>
      <c r="D1210" t="str">
        <f>"3276005533004"</f>
        <v>3276005533004</v>
      </c>
      <c r="E1210" t="s">
        <v>2397</v>
      </c>
      <c r="F1210" t="s">
        <v>425</v>
      </c>
      <c r="G1210">
        <v>1</v>
      </c>
      <c r="H1210" t="s">
        <v>18</v>
      </c>
      <c r="I1210" t="s">
        <v>16</v>
      </c>
      <c r="J1210" t="s">
        <v>17</v>
      </c>
      <c r="L1210" t="s">
        <v>18</v>
      </c>
      <c r="M1210" t="s">
        <v>2398</v>
      </c>
    </row>
    <row r="1211" spans="2:13" x14ac:dyDescent="0.25">
      <c r="B1211" t="s">
        <v>2380</v>
      </c>
      <c r="C1211">
        <v>15900351</v>
      </c>
      <c r="D1211" t="str">
        <f>"3276005532960"</f>
        <v>3276005532960</v>
      </c>
      <c r="E1211" t="s">
        <v>2399</v>
      </c>
      <c r="F1211" t="s">
        <v>649</v>
      </c>
      <c r="G1211">
        <v>1</v>
      </c>
      <c r="H1211" t="s">
        <v>18</v>
      </c>
      <c r="I1211" t="s">
        <v>16</v>
      </c>
      <c r="J1211" t="s">
        <v>17</v>
      </c>
      <c r="L1211" t="s">
        <v>18</v>
      </c>
      <c r="M1211" t="s">
        <v>2338</v>
      </c>
    </row>
    <row r="1212" spans="2:13" x14ac:dyDescent="0.25">
      <c r="B1212" t="s">
        <v>2380</v>
      </c>
      <c r="C1212">
        <v>15900378</v>
      </c>
      <c r="D1212" t="str">
        <f>"3276005532885"</f>
        <v>3276005532885</v>
      </c>
      <c r="E1212" t="s">
        <v>2400</v>
      </c>
      <c r="F1212" t="s">
        <v>406</v>
      </c>
      <c r="G1212">
        <v>1</v>
      </c>
      <c r="H1212" t="s">
        <v>18</v>
      </c>
      <c r="I1212" t="s">
        <v>16</v>
      </c>
      <c r="J1212" t="s">
        <v>17</v>
      </c>
      <c r="L1212" t="s">
        <v>18</v>
      </c>
      <c r="M1212" t="s">
        <v>2114</v>
      </c>
    </row>
    <row r="1213" spans="2:13" x14ac:dyDescent="0.25">
      <c r="B1213" t="s">
        <v>2380</v>
      </c>
      <c r="C1213">
        <v>15900386</v>
      </c>
      <c r="D1213" t="str">
        <f>"3276005532847"</f>
        <v>3276005532847</v>
      </c>
      <c r="E1213" t="s">
        <v>2401</v>
      </c>
      <c r="F1213" t="s">
        <v>410</v>
      </c>
      <c r="G1213">
        <v>1</v>
      </c>
      <c r="H1213" t="s">
        <v>18</v>
      </c>
      <c r="I1213" t="s">
        <v>16</v>
      </c>
      <c r="J1213" t="s">
        <v>17</v>
      </c>
      <c r="L1213" t="s">
        <v>18</v>
      </c>
      <c r="M1213" t="s">
        <v>577</v>
      </c>
    </row>
    <row r="1214" spans="2:13" x14ac:dyDescent="0.25">
      <c r="B1214" t="s">
        <v>2380</v>
      </c>
      <c r="C1214">
        <v>15900394</v>
      </c>
      <c r="D1214" t="str">
        <f>"3276005532809"</f>
        <v>3276005532809</v>
      </c>
      <c r="E1214" t="s">
        <v>2402</v>
      </c>
      <c r="F1214" t="s">
        <v>973</v>
      </c>
      <c r="G1214">
        <v>1</v>
      </c>
      <c r="H1214" t="s">
        <v>18</v>
      </c>
      <c r="I1214" t="s">
        <v>16</v>
      </c>
      <c r="J1214" t="s">
        <v>17</v>
      </c>
      <c r="L1214" t="s">
        <v>18</v>
      </c>
      <c r="M1214" t="s">
        <v>1503</v>
      </c>
    </row>
    <row r="1215" spans="2:13" x14ac:dyDescent="0.25">
      <c r="B1215" t="s">
        <v>2380</v>
      </c>
      <c r="C1215">
        <v>15900407</v>
      </c>
      <c r="D1215" t="str">
        <f>"3276005532779"</f>
        <v>3276005532779</v>
      </c>
      <c r="E1215" t="s">
        <v>2403</v>
      </c>
      <c r="F1215" t="s">
        <v>191</v>
      </c>
      <c r="G1215">
        <v>1</v>
      </c>
      <c r="H1215" t="s">
        <v>18</v>
      </c>
      <c r="I1215" t="s">
        <v>16</v>
      </c>
      <c r="J1215" t="s">
        <v>28</v>
      </c>
      <c r="L1215" t="s">
        <v>18</v>
      </c>
      <c r="M1215" t="s">
        <v>2404</v>
      </c>
    </row>
    <row r="1216" spans="2:13" x14ac:dyDescent="0.25">
      <c r="B1216" t="s">
        <v>2380</v>
      </c>
      <c r="C1216">
        <v>15900415</v>
      </c>
      <c r="D1216" t="str">
        <f>"3276005532731"</f>
        <v>3276005532731</v>
      </c>
      <c r="E1216" t="s">
        <v>2405</v>
      </c>
      <c r="F1216" t="s">
        <v>485</v>
      </c>
      <c r="G1216">
        <v>0</v>
      </c>
      <c r="H1216" t="s">
        <v>18</v>
      </c>
      <c r="I1216" t="s">
        <v>16</v>
      </c>
      <c r="J1216" t="s">
        <v>28</v>
      </c>
      <c r="L1216" t="s">
        <v>18</v>
      </c>
      <c r="M1216" t="s">
        <v>840</v>
      </c>
    </row>
    <row r="1217" spans="2:13" x14ac:dyDescent="0.25">
      <c r="B1217" t="s">
        <v>2380</v>
      </c>
      <c r="C1217">
        <v>15900423</v>
      </c>
      <c r="D1217" t="str">
        <f>"3276005532694"</f>
        <v>3276005532694</v>
      </c>
      <c r="E1217" t="s">
        <v>2406</v>
      </c>
      <c r="F1217" t="s">
        <v>205</v>
      </c>
      <c r="G1217">
        <v>1</v>
      </c>
      <c r="H1217" t="s">
        <v>18</v>
      </c>
      <c r="I1217" t="s">
        <v>16</v>
      </c>
      <c r="J1217" t="s">
        <v>17</v>
      </c>
      <c r="L1217" t="s">
        <v>18</v>
      </c>
      <c r="M1217" t="s">
        <v>2148</v>
      </c>
    </row>
    <row r="1218" spans="2:13" x14ac:dyDescent="0.25">
      <c r="B1218" t="s">
        <v>2380</v>
      </c>
      <c r="C1218">
        <v>15900431</v>
      </c>
      <c r="D1218" t="str">
        <f>"3276005532656"</f>
        <v>3276005532656</v>
      </c>
      <c r="E1218" t="s">
        <v>2407</v>
      </c>
      <c r="F1218" t="s">
        <v>227</v>
      </c>
      <c r="G1218">
        <v>1</v>
      </c>
      <c r="H1218" t="s">
        <v>18</v>
      </c>
      <c r="I1218" t="s">
        <v>16</v>
      </c>
      <c r="J1218" t="s">
        <v>17</v>
      </c>
      <c r="L1218" t="s">
        <v>18</v>
      </c>
      <c r="M1218" t="s">
        <v>357</v>
      </c>
    </row>
    <row r="1219" spans="2:13" x14ac:dyDescent="0.25">
      <c r="B1219" t="s">
        <v>2380</v>
      </c>
      <c r="C1219">
        <v>15900440</v>
      </c>
      <c r="D1219" t="str">
        <f>"3276005532618"</f>
        <v>3276005532618</v>
      </c>
      <c r="E1219" t="s">
        <v>2408</v>
      </c>
      <c r="F1219" t="s">
        <v>389</v>
      </c>
      <c r="G1219">
        <v>1</v>
      </c>
      <c r="H1219" t="s">
        <v>18</v>
      </c>
      <c r="I1219" t="s">
        <v>16</v>
      </c>
      <c r="J1219" t="s">
        <v>17</v>
      </c>
      <c r="L1219" t="s">
        <v>18</v>
      </c>
      <c r="M1219" t="s">
        <v>1791</v>
      </c>
    </row>
    <row r="1220" spans="2:13" x14ac:dyDescent="0.25">
      <c r="B1220" t="s">
        <v>2380</v>
      </c>
      <c r="C1220">
        <v>16543333</v>
      </c>
      <c r="D1220" t="str">
        <f>"3276005632578"</f>
        <v>3276005632578</v>
      </c>
      <c r="E1220" t="s">
        <v>2409</v>
      </c>
      <c r="F1220" t="s">
        <v>410</v>
      </c>
      <c r="G1220">
        <v>1</v>
      </c>
      <c r="H1220" t="s">
        <v>18</v>
      </c>
      <c r="I1220" t="s">
        <v>16</v>
      </c>
      <c r="J1220" t="s">
        <v>17</v>
      </c>
      <c r="L1220" t="s">
        <v>18</v>
      </c>
      <c r="M1220" t="s">
        <v>2410</v>
      </c>
    </row>
    <row r="1221" spans="2:13" x14ac:dyDescent="0.25">
      <c r="B1221" t="s">
        <v>2380</v>
      </c>
      <c r="C1221">
        <v>16543341</v>
      </c>
      <c r="D1221" t="str">
        <f>"3276005632530"</f>
        <v>3276005632530</v>
      </c>
      <c r="E1221" t="s">
        <v>2411</v>
      </c>
      <c r="F1221" t="s">
        <v>188</v>
      </c>
      <c r="G1221">
        <v>1</v>
      </c>
      <c r="H1221" t="s">
        <v>18</v>
      </c>
      <c r="I1221" t="s">
        <v>16</v>
      </c>
      <c r="J1221" t="s">
        <v>17</v>
      </c>
      <c r="L1221" t="s">
        <v>18</v>
      </c>
      <c r="M1221" t="s">
        <v>2412</v>
      </c>
    </row>
    <row r="1222" spans="2:13" x14ac:dyDescent="0.25">
      <c r="B1222" t="s">
        <v>2380</v>
      </c>
      <c r="C1222">
        <v>16543350</v>
      </c>
      <c r="D1222" t="str">
        <f>"3276005632493"</f>
        <v>3276005632493</v>
      </c>
      <c r="E1222" t="s">
        <v>2413</v>
      </c>
      <c r="F1222" t="s">
        <v>277</v>
      </c>
      <c r="G1222">
        <v>1</v>
      </c>
      <c r="H1222" t="s">
        <v>18</v>
      </c>
      <c r="I1222" t="s">
        <v>16</v>
      </c>
      <c r="J1222" t="s">
        <v>17</v>
      </c>
      <c r="L1222" t="s">
        <v>18</v>
      </c>
      <c r="M1222" t="s">
        <v>2024</v>
      </c>
    </row>
    <row r="1223" spans="2:13" x14ac:dyDescent="0.25">
      <c r="B1223" t="s">
        <v>2380</v>
      </c>
      <c r="C1223">
        <v>16543368</v>
      </c>
      <c r="D1223" t="str">
        <f>"3276005632455"</f>
        <v>3276005632455</v>
      </c>
      <c r="E1223" t="s">
        <v>2414</v>
      </c>
      <c r="F1223" t="s">
        <v>525</v>
      </c>
      <c r="G1223">
        <v>1</v>
      </c>
      <c r="H1223" t="s">
        <v>18</v>
      </c>
      <c r="I1223" t="s">
        <v>16</v>
      </c>
      <c r="J1223" t="s">
        <v>17</v>
      </c>
      <c r="L1223" t="s">
        <v>18</v>
      </c>
      <c r="M1223" t="s">
        <v>2024</v>
      </c>
    </row>
    <row r="1224" spans="2:13" x14ac:dyDescent="0.25">
      <c r="B1224" t="s">
        <v>2380</v>
      </c>
      <c r="C1224">
        <v>16544299</v>
      </c>
      <c r="D1224" t="str">
        <f>"3276005632417"</f>
        <v>3276005632417</v>
      </c>
      <c r="E1224" t="s">
        <v>2415</v>
      </c>
      <c r="F1224" t="s">
        <v>165</v>
      </c>
      <c r="G1224">
        <v>1</v>
      </c>
      <c r="H1224" t="s">
        <v>18</v>
      </c>
      <c r="I1224" t="s">
        <v>16</v>
      </c>
      <c r="J1224" t="s">
        <v>17</v>
      </c>
      <c r="L1224" t="s">
        <v>18</v>
      </c>
      <c r="M1224" t="s">
        <v>2038</v>
      </c>
    </row>
    <row r="1225" spans="2:13" x14ac:dyDescent="0.25">
      <c r="B1225" t="s">
        <v>2380</v>
      </c>
      <c r="C1225">
        <v>16577293</v>
      </c>
      <c r="D1225" t="str">
        <f>"3276005708785"</f>
        <v>3276005708785</v>
      </c>
      <c r="E1225" t="s">
        <v>2416</v>
      </c>
      <c r="F1225" t="s">
        <v>285</v>
      </c>
      <c r="G1225">
        <v>1</v>
      </c>
      <c r="H1225" t="s">
        <v>18</v>
      </c>
      <c r="I1225" t="s">
        <v>16</v>
      </c>
      <c r="J1225" t="s">
        <v>17</v>
      </c>
      <c r="L1225" t="s">
        <v>18</v>
      </c>
      <c r="M1225" t="s">
        <v>2417</v>
      </c>
    </row>
    <row r="1226" spans="2:13" x14ac:dyDescent="0.25">
      <c r="B1226" t="s">
        <v>2380</v>
      </c>
      <c r="C1226">
        <v>16577306</v>
      </c>
      <c r="D1226" t="str">
        <f>"3276005708747"</f>
        <v>3276005708747</v>
      </c>
      <c r="E1226" t="s">
        <v>2418</v>
      </c>
      <c r="F1226" t="s">
        <v>21</v>
      </c>
      <c r="G1226">
        <v>1</v>
      </c>
      <c r="H1226" t="s">
        <v>18</v>
      </c>
      <c r="I1226" t="s">
        <v>16</v>
      </c>
      <c r="J1226" t="s">
        <v>17</v>
      </c>
      <c r="L1226" t="s">
        <v>18</v>
      </c>
      <c r="M1226" t="s">
        <v>2419</v>
      </c>
    </row>
    <row r="1227" spans="2:13" x14ac:dyDescent="0.25">
      <c r="B1227" t="s">
        <v>2380</v>
      </c>
      <c r="C1227">
        <v>16577314</v>
      </c>
      <c r="D1227" t="str">
        <f>"3276005708709"</f>
        <v>3276005708709</v>
      </c>
      <c r="E1227" t="s">
        <v>2420</v>
      </c>
      <c r="F1227" t="s">
        <v>109</v>
      </c>
      <c r="G1227">
        <v>1</v>
      </c>
      <c r="H1227" t="s">
        <v>18</v>
      </c>
      <c r="I1227" t="s">
        <v>16</v>
      </c>
      <c r="J1227" t="s">
        <v>17</v>
      </c>
      <c r="L1227" t="s">
        <v>18</v>
      </c>
      <c r="M1227" t="s">
        <v>2421</v>
      </c>
    </row>
    <row r="1228" spans="2:13" x14ac:dyDescent="0.25">
      <c r="B1228" t="s">
        <v>2380</v>
      </c>
      <c r="C1228">
        <v>16577322</v>
      </c>
      <c r="D1228" t="str">
        <f>"3276005708662"</f>
        <v>3276005708662</v>
      </c>
      <c r="E1228" t="s">
        <v>2422</v>
      </c>
      <c r="F1228" t="s">
        <v>268</v>
      </c>
      <c r="G1228">
        <v>1</v>
      </c>
      <c r="H1228" t="s">
        <v>18</v>
      </c>
      <c r="I1228" t="s">
        <v>16</v>
      </c>
      <c r="J1228" t="s">
        <v>17</v>
      </c>
      <c r="L1228" t="s">
        <v>18</v>
      </c>
      <c r="M1228" t="s">
        <v>2423</v>
      </c>
    </row>
    <row r="1229" spans="2:13" x14ac:dyDescent="0.25">
      <c r="B1229" t="s">
        <v>2380</v>
      </c>
      <c r="C1229">
        <v>16577331</v>
      </c>
      <c r="D1229" t="str">
        <f>"3276005708624"</f>
        <v>3276005708624</v>
      </c>
      <c r="E1229" t="s">
        <v>2424</v>
      </c>
      <c r="F1229" t="s">
        <v>227</v>
      </c>
      <c r="G1229">
        <v>1</v>
      </c>
      <c r="H1229" t="s">
        <v>18</v>
      </c>
      <c r="I1229" t="s">
        <v>16</v>
      </c>
      <c r="J1229" t="s">
        <v>17</v>
      </c>
      <c r="L1229" t="s">
        <v>18</v>
      </c>
      <c r="M1229" t="s">
        <v>2425</v>
      </c>
    </row>
    <row r="1230" spans="2:13" x14ac:dyDescent="0.25">
      <c r="B1230" t="s">
        <v>2380</v>
      </c>
      <c r="C1230">
        <v>16587301</v>
      </c>
      <c r="D1230" t="str">
        <f>"3276005708822"</f>
        <v>3276005708822</v>
      </c>
      <c r="E1230" t="s">
        <v>2426</v>
      </c>
      <c r="F1230" t="s">
        <v>21</v>
      </c>
      <c r="G1230">
        <v>1</v>
      </c>
      <c r="H1230" t="s">
        <v>18</v>
      </c>
      <c r="I1230" t="s">
        <v>16</v>
      </c>
      <c r="J1230" t="s">
        <v>17</v>
      </c>
      <c r="L1230" t="s">
        <v>18</v>
      </c>
      <c r="M1230" t="s">
        <v>2427</v>
      </c>
    </row>
    <row r="1231" spans="2:13" x14ac:dyDescent="0.25">
      <c r="B1231" t="s">
        <v>2380</v>
      </c>
      <c r="C1231">
        <v>17119631</v>
      </c>
      <c r="D1231" t="str">
        <f>"4627112610017"</f>
        <v>4627112610017</v>
      </c>
      <c r="E1231" t="s">
        <v>2428</v>
      </c>
      <c r="F1231" t="s">
        <v>295</v>
      </c>
      <c r="G1231">
        <v>1</v>
      </c>
      <c r="H1231" t="s">
        <v>18</v>
      </c>
      <c r="I1231" t="s">
        <v>16</v>
      </c>
      <c r="J1231" t="s">
        <v>892</v>
      </c>
      <c r="L1231" t="s">
        <v>18</v>
      </c>
      <c r="M1231" t="s">
        <v>1676</v>
      </c>
    </row>
    <row r="1232" spans="2:13" x14ac:dyDescent="0.25">
      <c r="B1232" t="s">
        <v>2380</v>
      </c>
      <c r="C1232">
        <v>17119673</v>
      </c>
      <c r="D1232" t="str">
        <f>"4627112610024"</f>
        <v>4627112610024</v>
      </c>
      <c r="E1232" t="s">
        <v>2429</v>
      </c>
      <c r="F1232" t="s">
        <v>114</v>
      </c>
      <c r="G1232">
        <v>1</v>
      </c>
      <c r="H1232" t="s">
        <v>18</v>
      </c>
      <c r="I1232" t="s">
        <v>16</v>
      </c>
      <c r="J1232" t="s">
        <v>892</v>
      </c>
      <c r="L1232" t="s">
        <v>18</v>
      </c>
      <c r="M1232" t="s">
        <v>2430</v>
      </c>
    </row>
    <row r="1233" spans="2:13" x14ac:dyDescent="0.25">
      <c r="B1233" t="s">
        <v>2380</v>
      </c>
      <c r="C1233">
        <v>17119702</v>
      </c>
      <c r="D1233" t="str">
        <f>"4627112610055"</f>
        <v>4627112610055</v>
      </c>
      <c r="E1233" t="s">
        <v>2431</v>
      </c>
      <c r="F1233" t="s">
        <v>1025</v>
      </c>
      <c r="G1233">
        <v>1</v>
      </c>
      <c r="H1233" t="s">
        <v>18</v>
      </c>
      <c r="I1233" t="s">
        <v>16</v>
      </c>
      <c r="J1233" t="s">
        <v>892</v>
      </c>
      <c r="L1233" t="s">
        <v>18</v>
      </c>
      <c r="M1233" t="s">
        <v>2432</v>
      </c>
    </row>
    <row r="1234" spans="2:13" x14ac:dyDescent="0.25">
      <c r="B1234" t="s">
        <v>2380</v>
      </c>
      <c r="C1234">
        <v>17119729</v>
      </c>
      <c r="D1234" t="str">
        <f>"4627112610079"</f>
        <v>4627112610079</v>
      </c>
      <c r="E1234" t="s">
        <v>2433</v>
      </c>
      <c r="F1234" t="s">
        <v>295</v>
      </c>
      <c r="G1234">
        <v>1</v>
      </c>
      <c r="H1234" t="s">
        <v>18</v>
      </c>
      <c r="I1234" t="s">
        <v>16</v>
      </c>
      <c r="J1234" t="s">
        <v>892</v>
      </c>
      <c r="L1234" t="s">
        <v>18</v>
      </c>
      <c r="M1234" t="s">
        <v>1965</v>
      </c>
    </row>
    <row r="1235" spans="2:13" x14ac:dyDescent="0.25">
      <c r="B1235" t="s">
        <v>2380</v>
      </c>
      <c r="C1235">
        <v>17119737</v>
      </c>
      <c r="D1235" t="str">
        <f>"4627112610086"</f>
        <v>4627112610086</v>
      </c>
      <c r="E1235" t="s">
        <v>2434</v>
      </c>
      <c r="F1235" t="s">
        <v>268</v>
      </c>
      <c r="G1235">
        <v>1</v>
      </c>
      <c r="H1235" t="s">
        <v>18</v>
      </c>
      <c r="I1235" t="s">
        <v>16</v>
      </c>
      <c r="J1235" t="s">
        <v>892</v>
      </c>
      <c r="L1235" t="s">
        <v>18</v>
      </c>
      <c r="M1235" t="s">
        <v>2435</v>
      </c>
    </row>
    <row r="1236" spans="2:13" x14ac:dyDescent="0.25">
      <c r="B1236" t="s">
        <v>2380</v>
      </c>
      <c r="C1236">
        <v>17119745</v>
      </c>
      <c r="D1236" t="str">
        <f>"4627112610093"</f>
        <v>4627112610093</v>
      </c>
      <c r="E1236" t="s">
        <v>2436</v>
      </c>
      <c r="F1236" t="s">
        <v>268</v>
      </c>
      <c r="G1236">
        <v>1</v>
      </c>
      <c r="H1236" t="s">
        <v>18</v>
      </c>
      <c r="I1236" t="s">
        <v>16</v>
      </c>
      <c r="J1236" t="s">
        <v>892</v>
      </c>
      <c r="L1236" t="s">
        <v>18</v>
      </c>
      <c r="M1236" t="s">
        <v>2435</v>
      </c>
    </row>
    <row r="1237" spans="2:13" x14ac:dyDescent="0.25">
      <c r="B1237" t="s">
        <v>2380</v>
      </c>
      <c r="C1237">
        <v>17119753</v>
      </c>
      <c r="D1237" t="str">
        <f>"4627112610109"</f>
        <v>4627112610109</v>
      </c>
      <c r="E1237" t="s">
        <v>2437</v>
      </c>
      <c r="F1237" t="s">
        <v>1934</v>
      </c>
      <c r="G1237">
        <v>1</v>
      </c>
      <c r="H1237" t="s">
        <v>18</v>
      </c>
      <c r="I1237" t="s">
        <v>16</v>
      </c>
      <c r="J1237" t="s">
        <v>892</v>
      </c>
      <c r="L1237" t="s">
        <v>18</v>
      </c>
      <c r="M1237" t="s">
        <v>2438</v>
      </c>
    </row>
    <row r="1238" spans="2:13" x14ac:dyDescent="0.25">
      <c r="B1238" t="s">
        <v>2380</v>
      </c>
      <c r="C1238">
        <v>17119761</v>
      </c>
      <c r="D1238" t="str">
        <f>"4627112610116"</f>
        <v>4627112610116</v>
      </c>
      <c r="E1238" t="s">
        <v>2439</v>
      </c>
      <c r="F1238" t="s">
        <v>791</v>
      </c>
      <c r="G1238">
        <v>1</v>
      </c>
      <c r="H1238" t="s">
        <v>18</v>
      </c>
      <c r="I1238" t="s">
        <v>16</v>
      </c>
      <c r="J1238" t="s">
        <v>892</v>
      </c>
      <c r="L1238" t="s">
        <v>18</v>
      </c>
      <c r="M1238" t="s">
        <v>2440</v>
      </c>
    </row>
    <row r="1239" spans="2:13" x14ac:dyDescent="0.25">
      <c r="B1239" t="s">
        <v>2380</v>
      </c>
      <c r="C1239">
        <v>17119770</v>
      </c>
      <c r="D1239" t="str">
        <f>"4627112610123"</f>
        <v>4627112610123</v>
      </c>
      <c r="E1239" t="s">
        <v>2441</v>
      </c>
      <c r="F1239" t="s">
        <v>485</v>
      </c>
      <c r="G1239">
        <v>1</v>
      </c>
      <c r="H1239" t="s">
        <v>18</v>
      </c>
      <c r="I1239" t="s">
        <v>16</v>
      </c>
      <c r="J1239" t="s">
        <v>892</v>
      </c>
      <c r="L1239" t="s">
        <v>18</v>
      </c>
      <c r="M1239" t="s">
        <v>1965</v>
      </c>
    </row>
    <row r="1240" spans="2:13" x14ac:dyDescent="0.25">
      <c r="B1240" t="s">
        <v>2380</v>
      </c>
      <c r="C1240">
        <v>17119788</v>
      </c>
      <c r="D1240" t="str">
        <f>"4627112610130"</f>
        <v>4627112610130</v>
      </c>
      <c r="E1240" t="s">
        <v>2442</v>
      </c>
      <c r="F1240" t="s">
        <v>114</v>
      </c>
      <c r="G1240">
        <v>1</v>
      </c>
      <c r="H1240" t="s">
        <v>18</v>
      </c>
      <c r="I1240" t="s">
        <v>16</v>
      </c>
      <c r="J1240" t="s">
        <v>892</v>
      </c>
      <c r="L1240" t="s">
        <v>18</v>
      </c>
      <c r="M1240" t="s">
        <v>2435</v>
      </c>
    </row>
    <row r="1241" spans="2:13" x14ac:dyDescent="0.25">
      <c r="B1241" t="s">
        <v>2380</v>
      </c>
      <c r="C1241">
        <v>17119796</v>
      </c>
      <c r="D1241" t="str">
        <f>"4627112610147"</f>
        <v>4627112610147</v>
      </c>
      <c r="E1241" t="s">
        <v>2443</v>
      </c>
      <c r="F1241" t="s">
        <v>410</v>
      </c>
      <c r="G1241">
        <v>1</v>
      </c>
      <c r="H1241" t="s">
        <v>18</v>
      </c>
      <c r="I1241" t="s">
        <v>16</v>
      </c>
      <c r="J1241" t="s">
        <v>892</v>
      </c>
      <c r="L1241" t="s">
        <v>18</v>
      </c>
      <c r="M1241" t="s">
        <v>2435</v>
      </c>
    </row>
    <row r="1242" spans="2:13" x14ac:dyDescent="0.25">
      <c r="B1242" t="s">
        <v>2380</v>
      </c>
      <c r="C1242">
        <v>17119809</v>
      </c>
      <c r="D1242" t="str">
        <f>"4627112610154"</f>
        <v>4627112610154</v>
      </c>
      <c r="E1242" t="s">
        <v>2444</v>
      </c>
      <c r="F1242" t="s">
        <v>1934</v>
      </c>
      <c r="G1242">
        <v>1</v>
      </c>
      <c r="H1242" t="s">
        <v>18</v>
      </c>
      <c r="I1242" t="s">
        <v>16</v>
      </c>
      <c r="J1242" t="s">
        <v>892</v>
      </c>
      <c r="L1242" t="s">
        <v>18</v>
      </c>
      <c r="M1242" t="s">
        <v>2438</v>
      </c>
    </row>
    <row r="1243" spans="2:13" x14ac:dyDescent="0.25">
      <c r="B1243" t="s">
        <v>2380</v>
      </c>
      <c r="C1243">
        <v>17119825</v>
      </c>
      <c r="D1243" t="str">
        <f>"4627112610178"</f>
        <v>4627112610178</v>
      </c>
      <c r="E1243" t="s">
        <v>2445</v>
      </c>
      <c r="F1243" t="s">
        <v>188</v>
      </c>
      <c r="G1243">
        <v>1</v>
      </c>
      <c r="H1243" t="s">
        <v>18</v>
      </c>
      <c r="I1243" t="s">
        <v>16</v>
      </c>
      <c r="J1243" t="s">
        <v>892</v>
      </c>
      <c r="L1243" t="s">
        <v>18</v>
      </c>
      <c r="M1243" t="s">
        <v>1965</v>
      </c>
    </row>
    <row r="1244" spans="2:13" x14ac:dyDescent="0.25">
      <c r="B1244" t="s">
        <v>2380</v>
      </c>
      <c r="C1244">
        <v>17119833</v>
      </c>
      <c r="D1244" t="str">
        <f>"4627112610185"</f>
        <v>4627112610185</v>
      </c>
      <c r="E1244" t="s">
        <v>2446</v>
      </c>
      <c r="F1244" t="s">
        <v>823</v>
      </c>
      <c r="G1244">
        <v>1</v>
      </c>
      <c r="H1244" t="s">
        <v>18</v>
      </c>
      <c r="I1244" t="s">
        <v>16</v>
      </c>
      <c r="J1244" t="s">
        <v>892</v>
      </c>
      <c r="L1244" t="s">
        <v>18</v>
      </c>
      <c r="M1244" t="s">
        <v>2435</v>
      </c>
    </row>
    <row r="1245" spans="2:13" x14ac:dyDescent="0.25">
      <c r="B1245" t="s">
        <v>2380</v>
      </c>
      <c r="C1245">
        <v>17119876</v>
      </c>
      <c r="D1245" t="str">
        <f>"4627112610222"</f>
        <v>4627112610222</v>
      </c>
      <c r="E1245" t="s">
        <v>2447</v>
      </c>
      <c r="F1245" t="s">
        <v>491</v>
      </c>
      <c r="G1245">
        <v>1</v>
      </c>
      <c r="H1245" t="s">
        <v>18</v>
      </c>
      <c r="I1245" t="s">
        <v>16</v>
      </c>
      <c r="J1245" t="s">
        <v>892</v>
      </c>
      <c r="L1245" t="s">
        <v>18</v>
      </c>
      <c r="M1245" t="s">
        <v>2371</v>
      </c>
    </row>
    <row r="1246" spans="2:13" x14ac:dyDescent="0.25">
      <c r="B1246" t="s">
        <v>2380</v>
      </c>
      <c r="C1246">
        <v>17119884</v>
      </c>
      <c r="D1246" t="str">
        <f>"4627112610239"</f>
        <v>4627112610239</v>
      </c>
      <c r="E1246" t="s">
        <v>2448</v>
      </c>
      <c r="F1246" t="s">
        <v>310</v>
      </c>
      <c r="G1246">
        <v>1</v>
      </c>
      <c r="H1246" t="s">
        <v>18</v>
      </c>
      <c r="I1246" t="s">
        <v>16</v>
      </c>
      <c r="J1246" t="s">
        <v>892</v>
      </c>
      <c r="L1246" t="s">
        <v>18</v>
      </c>
      <c r="M1246" t="s">
        <v>2371</v>
      </c>
    </row>
    <row r="1247" spans="2:13" x14ac:dyDescent="0.25">
      <c r="B1247" t="s">
        <v>2380</v>
      </c>
      <c r="C1247">
        <v>17119892</v>
      </c>
      <c r="D1247" t="str">
        <f>"4627112610246"</f>
        <v>4627112610246</v>
      </c>
      <c r="E1247" t="s">
        <v>2449</v>
      </c>
      <c r="F1247" t="s">
        <v>609</v>
      </c>
      <c r="G1247">
        <v>1</v>
      </c>
      <c r="H1247" t="s">
        <v>18</v>
      </c>
      <c r="I1247" t="s">
        <v>16</v>
      </c>
      <c r="J1247" t="s">
        <v>892</v>
      </c>
      <c r="L1247" t="s">
        <v>18</v>
      </c>
      <c r="M1247" t="s">
        <v>2371</v>
      </c>
    </row>
    <row r="1248" spans="2:13" x14ac:dyDescent="0.25">
      <c r="B1248" t="s">
        <v>2380</v>
      </c>
      <c r="C1248">
        <v>17119905</v>
      </c>
      <c r="D1248" t="str">
        <f>"4627112610253"</f>
        <v>4627112610253</v>
      </c>
      <c r="E1248" t="s">
        <v>2450</v>
      </c>
      <c r="F1248" t="s">
        <v>1594</v>
      </c>
      <c r="G1248">
        <v>1</v>
      </c>
      <c r="H1248" t="s">
        <v>18</v>
      </c>
      <c r="I1248" t="s">
        <v>16</v>
      </c>
      <c r="J1248" t="s">
        <v>892</v>
      </c>
      <c r="L1248" t="s">
        <v>18</v>
      </c>
      <c r="M1248" t="s">
        <v>2451</v>
      </c>
    </row>
    <row r="1249" spans="2:13" x14ac:dyDescent="0.25">
      <c r="B1249" t="s">
        <v>2380</v>
      </c>
      <c r="C1249">
        <v>17312318</v>
      </c>
      <c r="D1249" t="str">
        <f>"4680018340488"</f>
        <v>4680018340488</v>
      </c>
      <c r="E1249" t="s">
        <v>2452</v>
      </c>
      <c r="F1249" t="s">
        <v>227</v>
      </c>
      <c r="G1249">
        <v>1</v>
      </c>
      <c r="H1249" t="s">
        <v>18</v>
      </c>
      <c r="I1249" t="s">
        <v>16</v>
      </c>
      <c r="J1249" t="s">
        <v>1682</v>
      </c>
      <c r="L1249" t="s">
        <v>18</v>
      </c>
      <c r="M1249" t="s">
        <v>2453</v>
      </c>
    </row>
    <row r="1250" spans="2:13" x14ac:dyDescent="0.25">
      <c r="B1250" t="s">
        <v>2380</v>
      </c>
      <c r="C1250">
        <v>17312326</v>
      </c>
      <c r="D1250" t="str">
        <f>"4680018340495"</f>
        <v>4680018340495</v>
      </c>
      <c r="E1250" t="s">
        <v>2454</v>
      </c>
      <c r="F1250" t="s">
        <v>242</v>
      </c>
      <c r="G1250">
        <v>1</v>
      </c>
      <c r="H1250" t="s">
        <v>18</v>
      </c>
      <c r="I1250" t="s">
        <v>16</v>
      </c>
      <c r="J1250" t="s">
        <v>1682</v>
      </c>
      <c r="L1250" t="s">
        <v>18</v>
      </c>
      <c r="M1250" t="s">
        <v>627</v>
      </c>
    </row>
    <row r="1251" spans="2:13" x14ac:dyDescent="0.25">
      <c r="B1251" t="s">
        <v>2380</v>
      </c>
      <c r="C1251">
        <v>17312334</v>
      </c>
      <c r="D1251" t="str">
        <f>"4680018340501"</f>
        <v>4680018340501</v>
      </c>
      <c r="E1251" t="s">
        <v>2455</v>
      </c>
      <c r="F1251" t="s">
        <v>1016</v>
      </c>
      <c r="G1251">
        <v>1</v>
      </c>
      <c r="H1251" t="s">
        <v>18</v>
      </c>
      <c r="I1251" t="s">
        <v>16</v>
      </c>
      <c r="J1251" t="s">
        <v>1682</v>
      </c>
      <c r="L1251" t="s">
        <v>18</v>
      </c>
      <c r="M1251" t="s">
        <v>2456</v>
      </c>
    </row>
    <row r="1252" spans="2:13" x14ac:dyDescent="0.25">
      <c r="B1252" t="s">
        <v>2380</v>
      </c>
      <c r="C1252">
        <v>17312342</v>
      </c>
      <c r="D1252" t="str">
        <f>"4680018341614"</f>
        <v>4680018341614</v>
      </c>
      <c r="E1252" t="s">
        <v>2457</v>
      </c>
      <c r="F1252" t="s">
        <v>2144</v>
      </c>
      <c r="G1252">
        <v>1</v>
      </c>
      <c r="H1252" t="s">
        <v>18</v>
      </c>
      <c r="I1252" t="s">
        <v>16</v>
      </c>
      <c r="J1252" t="s">
        <v>1682</v>
      </c>
      <c r="L1252" t="s">
        <v>18</v>
      </c>
      <c r="M1252" t="s">
        <v>784</v>
      </c>
    </row>
    <row r="1253" spans="2:13" x14ac:dyDescent="0.25">
      <c r="B1253" t="s">
        <v>2380</v>
      </c>
      <c r="C1253">
        <v>17312351</v>
      </c>
      <c r="D1253" t="str">
        <f>"4680018340518"</f>
        <v>4680018340518</v>
      </c>
      <c r="E1253" t="s">
        <v>2458</v>
      </c>
      <c r="F1253" t="s">
        <v>759</v>
      </c>
      <c r="G1253">
        <v>1</v>
      </c>
      <c r="H1253" t="s">
        <v>18</v>
      </c>
      <c r="I1253" t="s">
        <v>16</v>
      </c>
      <c r="J1253" t="s">
        <v>1682</v>
      </c>
      <c r="L1253" t="s">
        <v>18</v>
      </c>
      <c r="M1253" t="s">
        <v>1580</v>
      </c>
    </row>
    <row r="1254" spans="2:13" x14ac:dyDescent="0.25">
      <c r="B1254" t="s">
        <v>2380</v>
      </c>
      <c r="C1254">
        <v>17497367</v>
      </c>
      <c r="D1254" t="str">
        <f>"6931234573197"</f>
        <v>6931234573197</v>
      </c>
      <c r="E1254" t="s">
        <v>2459</v>
      </c>
      <c r="F1254" t="s">
        <v>285</v>
      </c>
      <c r="G1254">
        <v>1</v>
      </c>
      <c r="H1254" t="s">
        <v>18</v>
      </c>
      <c r="I1254" t="s">
        <v>16</v>
      </c>
      <c r="J1254" t="s">
        <v>239</v>
      </c>
      <c r="L1254" t="s">
        <v>18</v>
      </c>
      <c r="M1254" t="s">
        <v>2460</v>
      </c>
    </row>
    <row r="1255" spans="2:13" x14ac:dyDescent="0.25">
      <c r="B1255" t="s">
        <v>2380</v>
      </c>
      <c r="C1255">
        <v>18039579</v>
      </c>
      <c r="D1255" t="str">
        <f>"4627091397145"</f>
        <v>4627091397145</v>
      </c>
      <c r="E1255" t="s">
        <v>2461</v>
      </c>
      <c r="F1255" t="s">
        <v>413</v>
      </c>
      <c r="G1255">
        <v>1</v>
      </c>
      <c r="H1255" t="s">
        <v>18</v>
      </c>
      <c r="I1255" t="s">
        <v>16</v>
      </c>
      <c r="J1255" t="s">
        <v>854</v>
      </c>
      <c r="L1255" t="s">
        <v>18</v>
      </c>
      <c r="M1255" t="s">
        <v>2006</v>
      </c>
    </row>
    <row r="1256" spans="2:13" x14ac:dyDescent="0.25">
      <c r="B1256" t="s">
        <v>2380</v>
      </c>
      <c r="C1256">
        <v>18039587</v>
      </c>
      <c r="D1256" t="str">
        <f>"4627091397152"</f>
        <v>4627091397152</v>
      </c>
      <c r="E1256" t="s">
        <v>2462</v>
      </c>
      <c r="F1256" t="s">
        <v>268</v>
      </c>
      <c r="G1256">
        <v>1</v>
      </c>
      <c r="H1256" t="s">
        <v>18</v>
      </c>
      <c r="I1256" t="s">
        <v>16</v>
      </c>
      <c r="J1256" t="s">
        <v>854</v>
      </c>
      <c r="L1256" t="s">
        <v>18</v>
      </c>
      <c r="M1256" t="s">
        <v>2006</v>
      </c>
    </row>
    <row r="1257" spans="2:13" x14ac:dyDescent="0.25">
      <c r="B1257" t="s">
        <v>2380</v>
      </c>
      <c r="C1257">
        <v>18039595</v>
      </c>
      <c r="D1257" t="str">
        <f>"4627091397169"</f>
        <v>4627091397169</v>
      </c>
      <c r="E1257" t="s">
        <v>2463</v>
      </c>
      <c r="F1257" t="s">
        <v>285</v>
      </c>
      <c r="G1257">
        <v>1</v>
      </c>
      <c r="H1257" t="s">
        <v>18</v>
      </c>
      <c r="I1257" t="s">
        <v>16</v>
      </c>
      <c r="J1257" t="s">
        <v>854</v>
      </c>
      <c r="L1257" t="s">
        <v>18</v>
      </c>
      <c r="M1257" t="s">
        <v>2464</v>
      </c>
    </row>
    <row r="1258" spans="2:13" x14ac:dyDescent="0.25">
      <c r="B1258" t="s">
        <v>2380</v>
      </c>
      <c r="C1258">
        <v>18039608</v>
      </c>
      <c r="D1258" t="str">
        <f>"4627091397176"</f>
        <v>4627091397176</v>
      </c>
      <c r="E1258" t="s">
        <v>2465</v>
      </c>
      <c r="F1258" t="s">
        <v>268</v>
      </c>
      <c r="G1258">
        <v>1</v>
      </c>
      <c r="H1258" t="s">
        <v>18</v>
      </c>
      <c r="I1258" t="s">
        <v>16</v>
      </c>
      <c r="J1258" t="s">
        <v>854</v>
      </c>
      <c r="L1258" t="s">
        <v>18</v>
      </c>
      <c r="M1258" t="s">
        <v>1846</v>
      </c>
    </row>
    <row r="1259" spans="2:13" x14ac:dyDescent="0.25">
      <c r="B1259" t="s">
        <v>2466</v>
      </c>
      <c r="C1259">
        <v>12099079</v>
      </c>
      <c r="D1259" t="str">
        <f>"4607016810058"</f>
        <v>4607016810058</v>
      </c>
      <c r="E1259" t="s">
        <v>2467</v>
      </c>
      <c r="F1259" t="s">
        <v>897</v>
      </c>
      <c r="G1259">
        <v>1</v>
      </c>
      <c r="H1259" t="s">
        <v>18</v>
      </c>
      <c r="I1259" t="s">
        <v>16</v>
      </c>
      <c r="J1259" t="s">
        <v>2468</v>
      </c>
      <c r="L1259" t="s">
        <v>18</v>
      </c>
      <c r="M1259" t="s">
        <v>2185</v>
      </c>
    </row>
    <row r="1260" spans="2:13" x14ac:dyDescent="0.25">
      <c r="B1260" t="s">
        <v>2466</v>
      </c>
      <c r="C1260">
        <v>18085516</v>
      </c>
      <c r="D1260" t="str">
        <f>"3276000177531"</f>
        <v>3276000177531</v>
      </c>
      <c r="E1260" t="s">
        <v>2469</v>
      </c>
      <c r="F1260" t="s">
        <v>194</v>
      </c>
      <c r="G1260">
        <v>2</v>
      </c>
      <c r="H1260" t="s">
        <v>18</v>
      </c>
      <c r="I1260" t="s">
        <v>16</v>
      </c>
      <c r="J1260" t="s">
        <v>28</v>
      </c>
      <c r="L1260" t="s">
        <v>18</v>
      </c>
      <c r="M1260" t="s">
        <v>361</v>
      </c>
    </row>
    <row r="1261" spans="2:13" x14ac:dyDescent="0.25">
      <c r="B1261" t="s">
        <v>2466</v>
      </c>
      <c r="C1261">
        <v>18091983</v>
      </c>
      <c r="D1261" t="str">
        <f>"4690231164587"</f>
        <v>4690231164587</v>
      </c>
      <c r="E1261" t="s">
        <v>2470</v>
      </c>
      <c r="F1261" t="s">
        <v>188</v>
      </c>
      <c r="G1261">
        <v>1</v>
      </c>
      <c r="H1261" t="s">
        <v>18</v>
      </c>
      <c r="I1261" t="s">
        <v>16</v>
      </c>
      <c r="J1261" t="s">
        <v>1542</v>
      </c>
      <c r="L1261" t="s">
        <v>18</v>
      </c>
      <c r="M1261" t="s">
        <v>2471</v>
      </c>
    </row>
    <row r="1262" spans="2:13" x14ac:dyDescent="0.25">
      <c r="B1262" t="s">
        <v>2472</v>
      </c>
      <c r="C1262">
        <v>15494322</v>
      </c>
      <c r="D1262" t="str">
        <f>"3276200156503"</f>
        <v>3276200156503</v>
      </c>
      <c r="E1262" t="s">
        <v>2473</v>
      </c>
      <c r="F1262" t="s">
        <v>1379</v>
      </c>
      <c r="G1262">
        <v>1</v>
      </c>
      <c r="H1262" t="s">
        <v>18</v>
      </c>
      <c r="I1262" t="s">
        <v>16</v>
      </c>
      <c r="J1262" t="s">
        <v>17</v>
      </c>
      <c r="L1262" t="s">
        <v>18</v>
      </c>
      <c r="M1262" t="s">
        <v>2032</v>
      </c>
    </row>
    <row r="1263" spans="2:13" x14ac:dyDescent="0.25">
      <c r="B1263" t="s">
        <v>2472</v>
      </c>
      <c r="C1263">
        <v>18027480</v>
      </c>
      <c r="D1263" t="str">
        <f>"3276004259608"</f>
        <v>3276004259608</v>
      </c>
      <c r="E1263" t="s">
        <v>2474</v>
      </c>
      <c r="F1263" t="s">
        <v>48</v>
      </c>
      <c r="G1263">
        <v>1</v>
      </c>
      <c r="H1263" t="s">
        <v>18</v>
      </c>
      <c r="I1263" t="s">
        <v>16</v>
      </c>
      <c r="J1263" t="s">
        <v>17</v>
      </c>
      <c r="L1263" t="s">
        <v>18</v>
      </c>
      <c r="M1263" t="s">
        <v>2475</v>
      </c>
    </row>
    <row r="1264" spans="2:13" x14ac:dyDescent="0.25">
      <c r="B1264" t="s">
        <v>2472</v>
      </c>
      <c r="C1264">
        <v>18027501</v>
      </c>
      <c r="D1264" t="str">
        <f>"3276000208389"</f>
        <v>3276000208389</v>
      </c>
      <c r="E1264" t="s">
        <v>2476</v>
      </c>
      <c r="F1264" t="s">
        <v>31</v>
      </c>
      <c r="G1264">
        <v>1</v>
      </c>
      <c r="H1264" t="s">
        <v>18</v>
      </c>
      <c r="I1264" t="s">
        <v>16</v>
      </c>
      <c r="J1264" t="s">
        <v>17</v>
      </c>
      <c r="L1264" t="s">
        <v>18</v>
      </c>
      <c r="M1264" t="s">
        <v>2477</v>
      </c>
    </row>
    <row r="1265" spans="2:13" x14ac:dyDescent="0.25">
      <c r="B1265" t="s">
        <v>2478</v>
      </c>
      <c r="C1265">
        <v>12099060</v>
      </c>
      <c r="D1265" t="str">
        <f>"4607016811208"</f>
        <v>4607016811208</v>
      </c>
      <c r="E1265" t="s">
        <v>2479</v>
      </c>
      <c r="F1265" t="s">
        <v>114</v>
      </c>
      <c r="G1265">
        <v>1</v>
      </c>
      <c r="H1265" t="s">
        <v>18</v>
      </c>
      <c r="I1265" t="s">
        <v>16</v>
      </c>
      <c r="J1265" t="s">
        <v>2468</v>
      </c>
      <c r="L1265" t="s">
        <v>18</v>
      </c>
      <c r="M1265" t="s">
        <v>2359</v>
      </c>
    </row>
    <row r="1266" spans="2:13" x14ac:dyDescent="0.25">
      <c r="B1266" t="s">
        <v>2478</v>
      </c>
      <c r="C1266">
        <v>18027498</v>
      </c>
      <c r="D1266" t="str">
        <f>"3276004575005"</f>
        <v>3276004575005</v>
      </c>
      <c r="E1266" t="s">
        <v>2480</v>
      </c>
      <c r="F1266" t="s">
        <v>191</v>
      </c>
      <c r="G1266">
        <v>1</v>
      </c>
      <c r="H1266" t="s">
        <v>18</v>
      </c>
      <c r="I1266" t="s">
        <v>16</v>
      </c>
      <c r="J1266" t="s">
        <v>17</v>
      </c>
      <c r="L1266" t="s">
        <v>18</v>
      </c>
      <c r="M1266" t="s">
        <v>2481</v>
      </c>
    </row>
    <row r="1267" spans="2:13" x14ac:dyDescent="0.25">
      <c r="B1267" t="s">
        <v>2478</v>
      </c>
      <c r="C1267">
        <v>18039544</v>
      </c>
      <c r="D1267" t="str">
        <f>"4604819000334"</f>
        <v>4604819000334</v>
      </c>
      <c r="E1267" t="s">
        <v>2482</v>
      </c>
      <c r="F1267" t="s">
        <v>406</v>
      </c>
      <c r="G1267">
        <v>1</v>
      </c>
      <c r="H1267" t="s">
        <v>18</v>
      </c>
      <c r="I1267" t="s">
        <v>16</v>
      </c>
      <c r="J1267" t="s">
        <v>2483</v>
      </c>
      <c r="L1267" t="s">
        <v>18</v>
      </c>
      <c r="M1267" t="s">
        <v>2484</v>
      </c>
    </row>
    <row r="1268" spans="2:13" x14ac:dyDescent="0.25">
      <c r="B1268" t="s">
        <v>2478</v>
      </c>
      <c r="C1268">
        <v>18122031</v>
      </c>
      <c r="D1268" t="str">
        <f>"4690231175149"</f>
        <v>4690231175149</v>
      </c>
      <c r="E1268" t="s">
        <v>2485</v>
      </c>
      <c r="F1268" t="s">
        <v>346</v>
      </c>
      <c r="G1268">
        <v>1</v>
      </c>
      <c r="H1268" t="s">
        <v>18</v>
      </c>
      <c r="I1268" t="s">
        <v>16</v>
      </c>
      <c r="J1268" t="s">
        <v>1542</v>
      </c>
      <c r="L1268" t="s">
        <v>18</v>
      </c>
      <c r="M1268" t="s">
        <v>2456</v>
      </c>
    </row>
    <row r="1269" spans="2:13" x14ac:dyDescent="0.25">
      <c r="B1269" t="s">
        <v>2486</v>
      </c>
      <c r="C1269">
        <v>13926400</v>
      </c>
      <c r="D1269" t="str">
        <f>"4620765855675"</f>
        <v>4620765855675</v>
      </c>
      <c r="E1269" t="s">
        <v>2487</v>
      </c>
      <c r="F1269" t="s">
        <v>43</v>
      </c>
      <c r="G1269">
        <v>1</v>
      </c>
      <c r="H1269" t="s">
        <v>18</v>
      </c>
      <c r="I1269" t="s">
        <v>16</v>
      </c>
      <c r="J1269" t="s">
        <v>854</v>
      </c>
      <c r="L1269" t="s">
        <v>18</v>
      </c>
      <c r="M1269" t="s">
        <v>2488</v>
      </c>
    </row>
    <row r="1270" spans="2:13" x14ac:dyDescent="0.25">
      <c r="B1270" t="s">
        <v>2486</v>
      </c>
      <c r="C1270">
        <v>14087995</v>
      </c>
      <c r="D1270" t="str">
        <f>"4607157116255"</f>
        <v>4607157116255</v>
      </c>
      <c r="E1270" t="s">
        <v>2489</v>
      </c>
      <c r="F1270" t="s">
        <v>170</v>
      </c>
      <c r="G1270">
        <v>1</v>
      </c>
      <c r="H1270" t="s">
        <v>18</v>
      </c>
      <c r="I1270" t="s">
        <v>16</v>
      </c>
      <c r="J1270" t="s">
        <v>1556</v>
      </c>
      <c r="L1270" t="s">
        <v>18</v>
      </c>
      <c r="M1270" t="s">
        <v>2490</v>
      </c>
    </row>
    <row r="1271" spans="2:13" x14ac:dyDescent="0.25">
      <c r="B1271" t="s">
        <v>2486</v>
      </c>
      <c r="C1271">
        <v>14277019</v>
      </c>
      <c r="D1271" t="str">
        <f>"4620765858768"</f>
        <v>4620765858768</v>
      </c>
      <c r="E1271" t="s">
        <v>2491</v>
      </c>
      <c r="F1271" t="s">
        <v>823</v>
      </c>
      <c r="G1271">
        <v>1</v>
      </c>
      <c r="H1271" t="s">
        <v>18</v>
      </c>
      <c r="I1271" t="s">
        <v>16</v>
      </c>
      <c r="J1271" t="s">
        <v>854</v>
      </c>
      <c r="L1271" t="s">
        <v>18</v>
      </c>
      <c r="M1271" t="s">
        <v>2492</v>
      </c>
    </row>
    <row r="1272" spans="2:13" x14ac:dyDescent="0.25">
      <c r="B1272" t="s">
        <v>2486</v>
      </c>
      <c r="C1272">
        <v>14277027</v>
      </c>
      <c r="D1272" t="str">
        <f>"4620765858775"</f>
        <v>4620765858775</v>
      </c>
      <c r="E1272" t="s">
        <v>2493</v>
      </c>
      <c r="F1272" t="s">
        <v>60</v>
      </c>
      <c r="G1272">
        <v>1</v>
      </c>
      <c r="H1272" t="s">
        <v>18</v>
      </c>
      <c r="I1272" t="s">
        <v>16</v>
      </c>
      <c r="J1272" t="s">
        <v>854</v>
      </c>
      <c r="L1272" t="s">
        <v>18</v>
      </c>
      <c r="M1272" t="s">
        <v>2494</v>
      </c>
    </row>
    <row r="1273" spans="2:13" x14ac:dyDescent="0.25">
      <c r="B1273" t="s">
        <v>2495</v>
      </c>
      <c r="C1273">
        <v>12646052</v>
      </c>
      <c r="D1273" t="str">
        <f>"4605196004311"</f>
        <v>4605196004311</v>
      </c>
      <c r="E1273" t="s">
        <v>2496</v>
      </c>
      <c r="F1273" t="s">
        <v>2497</v>
      </c>
      <c r="G1273">
        <v>1</v>
      </c>
      <c r="H1273" t="s">
        <v>18</v>
      </c>
      <c r="I1273" t="s">
        <v>16</v>
      </c>
      <c r="J1273" t="s">
        <v>1521</v>
      </c>
      <c r="L1273" t="s">
        <v>18</v>
      </c>
      <c r="M1273" t="s">
        <v>858</v>
      </c>
    </row>
    <row r="1274" spans="2:13" x14ac:dyDescent="0.25">
      <c r="B1274" t="s">
        <v>2495</v>
      </c>
      <c r="C1274">
        <v>12646079</v>
      </c>
      <c r="D1274" t="str">
        <f>"4670003470115"</f>
        <v>4670003470115</v>
      </c>
      <c r="E1274" t="s">
        <v>2498</v>
      </c>
      <c r="F1274" t="s">
        <v>2499</v>
      </c>
      <c r="G1274">
        <v>1</v>
      </c>
      <c r="H1274" t="s">
        <v>18</v>
      </c>
      <c r="I1274" t="s">
        <v>16</v>
      </c>
      <c r="J1274" t="s">
        <v>1521</v>
      </c>
      <c r="L1274" t="s">
        <v>18</v>
      </c>
      <c r="M1274" t="s">
        <v>858</v>
      </c>
    </row>
    <row r="1275" spans="2:13" x14ac:dyDescent="0.25">
      <c r="B1275" t="s">
        <v>2495</v>
      </c>
      <c r="C1275">
        <v>13123595</v>
      </c>
      <c r="D1275" t="str">
        <f>"4607133588403"</f>
        <v>4607133588403</v>
      </c>
      <c r="E1275" t="s">
        <v>2500</v>
      </c>
      <c r="F1275" t="s">
        <v>1161</v>
      </c>
      <c r="G1275">
        <v>1</v>
      </c>
      <c r="H1275" t="s">
        <v>18</v>
      </c>
      <c r="I1275" t="s">
        <v>51</v>
      </c>
      <c r="J1275" t="s">
        <v>1571</v>
      </c>
      <c r="L1275" t="s">
        <v>18</v>
      </c>
      <c r="M1275" t="s">
        <v>1488</v>
      </c>
    </row>
    <row r="1276" spans="2:13" x14ac:dyDescent="0.25">
      <c r="B1276" t="s">
        <v>2495</v>
      </c>
      <c r="C1276">
        <v>14276972</v>
      </c>
      <c r="D1276" t="str">
        <f>"4620765858737"</f>
        <v>4620765858737</v>
      </c>
      <c r="E1276" t="s">
        <v>2501</v>
      </c>
      <c r="F1276" t="s">
        <v>109</v>
      </c>
      <c r="G1276">
        <v>1</v>
      </c>
      <c r="H1276" t="s">
        <v>18</v>
      </c>
      <c r="I1276" t="s">
        <v>16</v>
      </c>
      <c r="J1276" t="s">
        <v>854</v>
      </c>
      <c r="L1276" t="s">
        <v>18</v>
      </c>
      <c r="M1276" t="s">
        <v>2502</v>
      </c>
    </row>
    <row r="1277" spans="2:13" x14ac:dyDescent="0.25">
      <c r="B1277" t="s">
        <v>2495</v>
      </c>
      <c r="C1277">
        <v>14303766</v>
      </c>
      <c r="D1277" t="str">
        <f>"4607157116965"</f>
        <v>4607157116965</v>
      </c>
      <c r="E1277" t="s">
        <v>2503</v>
      </c>
      <c r="F1277" t="s">
        <v>379</v>
      </c>
      <c r="G1277">
        <v>1</v>
      </c>
      <c r="H1277" t="s">
        <v>18</v>
      </c>
      <c r="I1277" t="s">
        <v>51</v>
      </c>
      <c r="J1277" t="s">
        <v>1556</v>
      </c>
      <c r="L1277" t="s">
        <v>18</v>
      </c>
      <c r="M1277" t="s">
        <v>2504</v>
      </c>
    </row>
    <row r="1278" spans="2:13" x14ac:dyDescent="0.25">
      <c r="B1278" t="s">
        <v>2495</v>
      </c>
      <c r="C1278">
        <v>14383971</v>
      </c>
      <c r="D1278" t="str">
        <f>"4630021680248"</f>
        <v>4630021680248</v>
      </c>
      <c r="E1278" t="s">
        <v>2505</v>
      </c>
      <c r="F1278" t="s">
        <v>185</v>
      </c>
      <c r="G1278">
        <v>1</v>
      </c>
      <c r="H1278" t="s">
        <v>18</v>
      </c>
      <c r="I1278" t="s">
        <v>16</v>
      </c>
      <c r="J1278" t="s">
        <v>1525</v>
      </c>
      <c r="L1278" t="s">
        <v>18</v>
      </c>
      <c r="M1278" t="s">
        <v>1904</v>
      </c>
    </row>
    <row r="1279" spans="2:13" x14ac:dyDescent="0.25">
      <c r="B1279" t="s">
        <v>2495</v>
      </c>
      <c r="C1279">
        <v>14383989</v>
      </c>
      <c r="D1279" t="str">
        <f>"4630021680255"</f>
        <v>4630021680255</v>
      </c>
      <c r="E1279" t="s">
        <v>2506</v>
      </c>
      <c r="F1279" t="s">
        <v>170</v>
      </c>
      <c r="G1279">
        <v>1</v>
      </c>
      <c r="H1279" t="s">
        <v>18</v>
      </c>
      <c r="I1279" t="s">
        <v>16</v>
      </c>
      <c r="J1279" t="s">
        <v>1525</v>
      </c>
      <c r="L1279" t="s">
        <v>18</v>
      </c>
      <c r="M1279" t="s">
        <v>856</v>
      </c>
    </row>
    <row r="1280" spans="2:13" x14ac:dyDescent="0.25">
      <c r="B1280" t="s">
        <v>2495</v>
      </c>
      <c r="C1280">
        <v>14384009</v>
      </c>
      <c r="D1280" t="str">
        <f>"4630021680279"</f>
        <v>4630021680279</v>
      </c>
      <c r="E1280" t="s">
        <v>2507</v>
      </c>
      <c r="F1280" t="s">
        <v>277</v>
      </c>
      <c r="G1280">
        <v>1</v>
      </c>
      <c r="H1280" t="s">
        <v>18</v>
      </c>
      <c r="I1280" t="s">
        <v>16</v>
      </c>
      <c r="J1280" t="s">
        <v>1525</v>
      </c>
      <c r="L1280" t="s">
        <v>18</v>
      </c>
      <c r="M1280" t="s">
        <v>2508</v>
      </c>
    </row>
    <row r="1281" spans="2:13" x14ac:dyDescent="0.25">
      <c r="B1281" t="s">
        <v>2495</v>
      </c>
      <c r="C1281">
        <v>15893294</v>
      </c>
      <c r="D1281" t="str">
        <f>"3276004439017"</f>
        <v>3276004439017</v>
      </c>
      <c r="E1281" t="s">
        <v>2509</v>
      </c>
      <c r="F1281" t="s">
        <v>310</v>
      </c>
      <c r="G1281">
        <v>0</v>
      </c>
      <c r="H1281" t="s">
        <v>18</v>
      </c>
      <c r="I1281" t="s">
        <v>16</v>
      </c>
      <c r="J1281" t="s">
        <v>17</v>
      </c>
      <c r="L1281" t="s">
        <v>18</v>
      </c>
      <c r="M1281" t="s">
        <v>1574</v>
      </c>
    </row>
    <row r="1282" spans="2:13" x14ac:dyDescent="0.25">
      <c r="B1282" t="s">
        <v>2495</v>
      </c>
      <c r="C1282">
        <v>15893307</v>
      </c>
      <c r="D1282" t="str">
        <f>"3276004438850"</f>
        <v>3276004438850</v>
      </c>
      <c r="E1282" t="s">
        <v>2510</v>
      </c>
      <c r="F1282" t="s">
        <v>242</v>
      </c>
      <c r="G1282">
        <v>0</v>
      </c>
      <c r="H1282" t="s">
        <v>18</v>
      </c>
      <c r="I1282" t="s">
        <v>16</v>
      </c>
      <c r="J1282" t="s">
        <v>17</v>
      </c>
      <c r="L1282" t="s">
        <v>18</v>
      </c>
      <c r="M1282" t="s">
        <v>1574</v>
      </c>
    </row>
    <row r="1283" spans="2:13" x14ac:dyDescent="0.25">
      <c r="B1283" t="s">
        <v>2495</v>
      </c>
      <c r="C1283">
        <v>15893315</v>
      </c>
      <c r="D1283" t="str">
        <f>"3276004438812"</f>
        <v>3276004438812</v>
      </c>
      <c r="E1283" t="s">
        <v>2511</v>
      </c>
      <c r="F1283" t="s">
        <v>109</v>
      </c>
      <c r="G1283">
        <v>1</v>
      </c>
      <c r="H1283" t="s">
        <v>18</v>
      </c>
      <c r="I1283" t="s">
        <v>16</v>
      </c>
      <c r="J1283" t="s">
        <v>17</v>
      </c>
      <c r="L1283" t="s">
        <v>18</v>
      </c>
      <c r="M1283" t="s">
        <v>2034</v>
      </c>
    </row>
    <row r="1284" spans="2:13" x14ac:dyDescent="0.25">
      <c r="B1284" t="s">
        <v>2495</v>
      </c>
      <c r="C1284">
        <v>15893323</v>
      </c>
      <c r="D1284" t="str">
        <f>"3276004438898"</f>
        <v>3276004438898</v>
      </c>
      <c r="E1284" t="s">
        <v>2512</v>
      </c>
      <c r="F1284" t="s">
        <v>425</v>
      </c>
      <c r="G1284">
        <v>1</v>
      </c>
      <c r="H1284" t="s">
        <v>18</v>
      </c>
      <c r="I1284" t="s">
        <v>16</v>
      </c>
      <c r="J1284" t="s">
        <v>17</v>
      </c>
      <c r="L1284" t="s">
        <v>18</v>
      </c>
      <c r="M1284" t="s">
        <v>2034</v>
      </c>
    </row>
    <row r="1285" spans="2:13" x14ac:dyDescent="0.25">
      <c r="B1285" t="s">
        <v>2495</v>
      </c>
      <c r="C1285">
        <v>15897404</v>
      </c>
      <c r="D1285" t="str">
        <f>"3276005517905"</f>
        <v>3276005517905</v>
      </c>
      <c r="E1285" t="s">
        <v>2513</v>
      </c>
      <c r="F1285" t="s">
        <v>295</v>
      </c>
      <c r="G1285">
        <v>0</v>
      </c>
      <c r="H1285" t="s">
        <v>18</v>
      </c>
      <c r="I1285" t="s">
        <v>16</v>
      </c>
      <c r="J1285" t="s">
        <v>17</v>
      </c>
      <c r="L1285" t="s">
        <v>18</v>
      </c>
      <c r="M1285" t="s">
        <v>1574</v>
      </c>
    </row>
    <row r="1286" spans="2:13" x14ac:dyDescent="0.25">
      <c r="B1286" t="s">
        <v>2495</v>
      </c>
      <c r="C1286">
        <v>16234291</v>
      </c>
      <c r="D1286" t="str">
        <f>"8424019350710"</f>
        <v>8424019350710</v>
      </c>
      <c r="E1286" t="s">
        <v>2514</v>
      </c>
      <c r="F1286" t="s">
        <v>185</v>
      </c>
      <c r="G1286">
        <v>0</v>
      </c>
      <c r="H1286" t="s">
        <v>18</v>
      </c>
      <c r="I1286" t="s">
        <v>16</v>
      </c>
      <c r="J1286" t="s">
        <v>17</v>
      </c>
      <c r="L1286" t="s">
        <v>18</v>
      </c>
      <c r="M1286" t="s">
        <v>1732</v>
      </c>
    </row>
    <row r="1287" spans="2:13" x14ac:dyDescent="0.25">
      <c r="B1287" t="s">
        <v>2495</v>
      </c>
      <c r="C1287">
        <v>16234303</v>
      </c>
      <c r="D1287" t="str">
        <f>"8424019350727"</f>
        <v>8424019350727</v>
      </c>
      <c r="E1287" t="s">
        <v>2515</v>
      </c>
      <c r="F1287" t="s">
        <v>185</v>
      </c>
      <c r="G1287">
        <v>0</v>
      </c>
      <c r="H1287" t="s">
        <v>18</v>
      </c>
      <c r="I1287" t="s">
        <v>16</v>
      </c>
      <c r="J1287" t="s">
        <v>17</v>
      </c>
      <c r="L1287" t="s">
        <v>18</v>
      </c>
      <c r="M1287" t="s">
        <v>1732</v>
      </c>
    </row>
    <row r="1288" spans="2:13" x14ac:dyDescent="0.25">
      <c r="B1288" t="s">
        <v>2495</v>
      </c>
      <c r="C1288">
        <v>16234311</v>
      </c>
      <c r="D1288" t="str">
        <f>"8424019350819"</f>
        <v>8424019350819</v>
      </c>
      <c r="E1288" t="s">
        <v>2516</v>
      </c>
      <c r="F1288" t="s">
        <v>242</v>
      </c>
      <c r="G1288">
        <v>1</v>
      </c>
      <c r="H1288" t="s">
        <v>18</v>
      </c>
      <c r="I1288" t="s">
        <v>16</v>
      </c>
      <c r="J1288" t="s">
        <v>17</v>
      </c>
      <c r="L1288" t="s">
        <v>18</v>
      </c>
      <c r="M1288" t="s">
        <v>2009</v>
      </c>
    </row>
    <row r="1289" spans="2:13" x14ac:dyDescent="0.25">
      <c r="B1289" t="s">
        <v>2495</v>
      </c>
      <c r="C1289">
        <v>17767646</v>
      </c>
      <c r="D1289" t="str">
        <f>"4670008480751"</f>
        <v>4670008480751</v>
      </c>
      <c r="E1289" t="s">
        <v>2517</v>
      </c>
      <c r="F1289" t="s">
        <v>247</v>
      </c>
      <c r="G1289">
        <v>1</v>
      </c>
      <c r="H1289" t="s">
        <v>18</v>
      </c>
      <c r="I1289" t="s">
        <v>16</v>
      </c>
      <c r="J1289" t="s">
        <v>1550</v>
      </c>
      <c r="L1289" t="s">
        <v>18</v>
      </c>
      <c r="M1289" t="s">
        <v>788</v>
      </c>
    </row>
    <row r="1290" spans="2:13" x14ac:dyDescent="0.25">
      <c r="B1290" t="s">
        <v>2495</v>
      </c>
      <c r="C1290">
        <v>18367708</v>
      </c>
      <c r="D1290" t="str">
        <f>"4605196014631"</f>
        <v>4605196014631</v>
      </c>
      <c r="E1290" t="s">
        <v>2518</v>
      </c>
      <c r="F1290" t="s">
        <v>34</v>
      </c>
      <c r="G1290">
        <v>1</v>
      </c>
      <c r="H1290" t="s">
        <v>18</v>
      </c>
      <c r="I1290" t="s">
        <v>16</v>
      </c>
      <c r="J1290" t="s">
        <v>1521</v>
      </c>
      <c r="L1290" t="s">
        <v>18</v>
      </c>
      <c r="M1290" t="s">
        <v>1775</v>
      </c>
    </row>
    <row r="1291" spans="2:13" x14ac:dyDescent="0.25">
      <c r="B1291" t="s">
        <v>2495</v>
      </c>
      <c r="C1291">
        <v>18698582</v>
      </c>
      <c r="D1291" t="str">
        <f>"8595593006932"</f>
        <v>8595593006932</v>
      </c>
      <c r="E1291" t="s">
        <v>2519</v>
      </c>
      <c r="F1291" t="s">
        <v>194</v>
      </c>
      <c r="G1291">
        <v>1</v>
      </c>
      <c r="H1291" t="s">
        <v>18</v>
      </c>
      <c r="I1291" t="s">
        <v>16</v>
      </c>
      <c r="J1291" t="s">
        <v>1150</v>
      </c>
      <c r="L1291" t="s">
        <v>18</v>
      </c>
      <c r="M1291" t="s">
        <v>1020</v>
      </c>
    </row>
    <row r="1292" spans="2:13" x14ac:dyDescent="0.25">
      <c r="B1292" t="s">
        <v>2520</v>
      </c>
      <c r="C1292">
        <v>10181554</v>
      </c>
      <c r="D1292" t="str">
        <f>"4607816930116"</f>
        <v>4607816930116</v>
      </c>
      <c r="E1292" t="s">
        <v>2521</v>
      </c>
      <c r="F1292" t="s">
        <v>194</v>
      </c>
      <c r="G1292">
        <v>1</v>
      </c>
      <c r="H1292" t="s">
        <v>18</v>
      </c>
      <c r="I1292" t="s">
        <v>16</v>
      </c>
      <c r="J1292" t="s">
        <v>2522</v>
      </c>
      <c r="L1292" t="s">
        <v>18</v>
      </c>
      <c r="M1292" t="s">
        <v>2523</v>
      </c>
    </row>
    <row r="1293" spans="2:13" x14ac:dyDescent="0.25">
      <c r="B1293" t="s">
        <v>2520</v>
      </c>
      <c r="C1293">
        <v>12099001</v>
      </c>
      <c r="D1293" t="str">
        <f>"4607016813639"</f>
        <v>4607016813639</v>
      </c>
      <c r="E1293" t="s">
        <v>2524</v>
      </c>
      <c r="F1293" t="s">
        <v>525</v>
      </c>
      <c r="G1293">
        <v>1</v>
      </c>
      <c r="H1293" t="s">
        <v>18</v>
      </c>
      <c r="I1293" t="s">
        <v>16</v>
      </c>
      <c r="J1293" t="s">
        <v>2468</v>
      </c>
      <c r="L1293" t="s">
        <v>18</v>
      </c>
      <c r="M1293" t="s">
        <v>2525</v>
      </c>
    </row>
    <row r="1294" spans="2:13" x14ac:dyDescent="0.25">
      <c r="B1294" t="s">
        <v>2520</v>
      </c>
      <c r="C1294">
        <v>12171261</v>
      </c>
      <c r="D1294" t="str">
        <f>"4607816930147"</f>
        <v>4607816930147</v>
      </c>
      <c r="E1294" t="s">
        <v>2526</v>
      </c>
      <c r="F1294" t="s">
        <v>2279</v>
      </c>
      <c r="G1294">
        <v>1</v>
      </c>
      <c r="H1294" t="s">
        <v>18</v>
      </c>
      <c r="I1294" t="s">
        <v>16</v>
      </c>
      <c r="J1294" t="s">
        <v>2522</v>
      </c>
      <c r="L1294" t="s">
        <v>18</v>
      </c>
      <c r="M1294" t="s">
        <v>2000</v>
      </c>
    </row>
    <row r="1295" spans="2:13" x14ac:dyDescent="0.25">
      <c r="B1295" t="s">
        <v>2520</v>
      </c>
      <c r="C1295">
        <v>12171317</v>
      </c>
      <c r="D1295" t="str">
        <f>"4607816930130"</f>
        <v>4607816930130</v>
      </c>
      <c r="E1295" t="s">
        <v>2527</v>
      </c>
      <c r="F1295" t="s">
        <v>1742</v>
      </c>
      <c r="G1295">
        <v>1</v>
      </c>
      <c r="H1295" t="s">
        <v>18</v>
      </c>
      <c r="I1295" t="s">
        <v>16</v>
      </c>
      <c r="J1295" t="s">
        <v>2522</v>
      </c>
      <c r="L1295" t="s">
        <v>18</v>
      </c>
      <c r="M1295" t="s">
        <v>2528</v>
      </c>
    </row>
    <row r="1296" spans="2:13" x14ac:dyDescent="0.25">
      <c r="B1296" t="s">
        <v>2520</v>
      </c>
      <c r="C1296">
        <v>12171333</v>
      </c>
      <c r="D1296" t="str">
        <f>"4607816930123"</f>
        <v>4607816930123</v>
      </c>
      <c r="E1296" t="s">
        <v>2529</v>
      </c>
      <c r="F1296" t="s">
        <v>861</v>
      </c>
      <c r="G1296">
        <v>1</v>
      </c>
      <c r="H1296" t="s">
        <v>18</v>
      </c>
      <c r="I1296" t="s">
        <v>16</v>
      </c>
      <c r="J1296" t="s">
        <v>2522</v>
      </c>
      <c r="L1296" t="s">
        <v>18</v>
      </c>
      <c r="M1296" t="s">
        <v>2000</v>
      </c>
    </row>
    <row r="1297" spans="2:13" x14ac:dyDescent="0.25">
      <c r="B1297" t="s">
        <v>2520</v>
      </c>
      <c r="C1297">
        <v>12474203</v>
      </c>
      <c r="D1297" t="str">
        <f>"4607016814230"</f>
        <v>4607016814230</v>
      </c>
      <c r="E1297" t="s">
        <v>2530</v>
      </c>
      <c r="F1297" t="s">
        <v>2006</v>
      </c>
      <c r="G1297">
        <v>1</v>
      </c>
      <c r="H1297" t="s">
        <v>18</v>
      </c>
      <c r="I1297" t="s">
        <v>51</v>
      </c>
      <c r="J1297" t="s">
        <v>2468</v>
      </c>
      <c r="L1297" t="s">
        <v>18</v>
      </c>
      <c r="M1297" t="s">
        <v>2144</v>
      </c>
    </row>
    <row r="1298" spans="2:13" x14ac:dyDescent="0.25">
      <c r="B1298" t="s">
        <v>2520</v>
      </c>
      <c r="C1298">
        <v>12474211</v>
      </c>
      <c r="D1298" t="str">
        <f>"4607016814254"</f>
        <v>4607016814254</v>
      </c>
      <c r="E1298" t="s">
        <v>2531</v>
      </c>
      <c r="F1298" t="s">
        <v>2532</v>
      </c>
      <c r="G1298">
        <v>1</v>
      </c>
      <c r="H1298" t="s">
        <v>18</v>
      </c>
      <c r="I1298" t="s">
        <v>51</v>
      </c>
      <c r="J1298" t="s">
        <v>2468</v>
      </c>
      <c r="L1298" t="s">
        <v>18</v>
      </c>
      <c r="M1298" t="s">
        <v>1982</v>
      </c>
    </row>
    <row r="1299" spans="2:13" x14ac:dyDescent="0.25">
      <c r="B1299" t="s">
        <v>2520</v>
      </c>
      <c r="C1299">
        <v>12886945</v>
      </c>
      <c r="D1299" t="str">
        <f>"8935070816522"</f>
        <v>8935070816522</v>
      </c>
      <c r="E1299" t="s">
        <v>2533</v>
      </c>
      <c r="F1299" t="s">
        <v>227</v>
      </c>
      <c r="G1299">
        <v>1</v>
      </c>
      <c r="H1299" t="s">
        <v>18</v>
      </c>
      <c r="I1299" t="s">
        <v>16</v>
      </c>
      <c r="J1299" t="s">
        <v>2534</v>
      </c>
      <c r="L1299" t="s">
        <v>18</v>
      </c>
      <c r="M1299" t="s">
        <v>2535</v>
      </c>
    </row>
    <row r="1300" spans="2:13" x14ac:dyDescent="0.25">
      <c r="B1300" t="s">
        <v>2520</v>
      </c>
      <c r="C1300">
        <v>13112853</v>
      </c>
      <c r="D1300" t="str">
        <f>"4607016815541"</f>
        <v>4607016815541</v>
      </c>
      <c r="E1300" t="s">
        <v>2536</v>
      </c>
      <c r="F1300" t="s">
        <v>1799</v>
      </c>
      <c r="G1300">
        <v>1</v>
      </c>
      <c r="H1300" t="s">
        <v>18</v>
      </c>
      <c r="I1300" t="s">
        <v>51</v>
      </c>
      <c r="J1300" t="s">
        <v>2468</v>
      </c>
      <c r="L1300" t="s">
        <v>18</v>
      </c>
      <c r="M1300" t="s">
        <v>2185</v>
      </c>
    </row>
    <row r="1301" spans="2:13" x14ac:dyDescent="0.25">
      <c r="B1301" t="s">
        <v>2520</v>
      </c>
      <c r="C1301">
        <v>13112984</v>
      </c>
      <c r="D1301" t="str">
        <f>"4607016815466"</f>
        <v>4607016815466</v>
      </c>
      <c r="E1301" t="s">
        <v>2537</v>
      </c>
      <c r="F1301" t="s">
        <v>310</v>
      </c>
      <c r="G1301">
        <v>1</v>
      </c>
      <c r="H1301" t="s">
        <v>18</v>
      </c>
      <c r="I1301" t="s">
        <v>16</v>
      </c>
      <c r="J1301" t="s">
        <v>2468</v>
      </c>
      <c r="L1301" t="s">
        <v>18</v>
      </c>
      <c r="M1301" t="s">
        <v>2538</v>
      </c>
    </row>
    <row r="1302" spans="2:13" x14ac:dyDescent="0.25">
      <c r="B1302" t="s">
        <v>2520</v>
      </c>
      <c r="C1302">
        <v>13944975</v>
      </c>
      <c r="D1302" t="str">
        <f>"8935132921966"</f>
        <v>8935132921966</v>
      </c>
      <c r="E1302" t="s">
        <v>2539</v>
      </c>
      <c r="F1302" t="s">
        <v>277</v>
      </c>
      <c r="G1302">
        <v>1</v>
      </c>
      <c r="H1302" t="s">
        <v>18</v>
      </c>
      <c r="I1302" t="s">
        <v>16</v>
      </c>
      <c r="J1302" t="s">
        <v>2534</v>
      </c>
      <c r="L1302" t="s">
        <v>18</v>
      </c>
      <c r="M1302" t="s">
        <v>2068</v>
      </c>
    </row>
    <row r="1303" spans="2:13" x14ac:dyDescent="0.25">
      <c r="B1303" t="s">
        <v>2520</v>
      </c>
      <c r="C1303">
        <v>13944991</v>
      </c>
      <c r="D1303" t="str">
        <f>"8935132921980"</f>
        <v>8935132921980</v>
      </c>
      <c r="E1303" t="s">
        <v>2540</v>
      </c>
      <c r="F1303" t="s">
        <v>753</v>
      </c>
      <c r="G1303">
        <v>1</v>
      </c>
      <c r="H1303" t="s">
        <v>18</v>
      </c>
      <c r="I1303" t="s">
        <v>51</v>
      </c>
      <c r="J1303" t="s">
        <v>2534</v>
      </c>
      <c r="L1303" t="s">
        <v>18</v>
      </c>
      <c r="M1303" t="s">
        <v>2068</v>
      </c>
    </row>
    <row r="1304" spans="2:13" x14ac:dyDescent="0.25">
      <c r="B1304" t="s">
        <v>2520</v>
      </c>
      <c r="C1304">
        <v>14273835</v>
      </c>
      <c r="D1304" t="str">
        <f>"8935132921997"</f>
        <v>8935132921997</v>
      </c>
      <c r="E1304" t="s">
        <v>2541</v>
      </c>
      <c r="F1304" t="s">
        <v>840</v>
      </c>
      <c r="G1304">
        <v>1</v>
      </c>
      <c r="H1304" t="s">
        <v>18</v>
      </c>
      <c r="I1304" t="s">
        <v>16</v>
      </c>
      <c r="J1304" t="s">
        <v>2534</v>
      </c>
      <c r="L1304" t="s">
        <v>18</v>
      </c>
      <c r="M1304" t="s">
        <v>2068</v>
      </c>
    </row>
    <row r="1305" spans="2:13" x14ac:dyDescent="0.25">
      <c r="B1305" t="s">
        <v>2520</v>
      </c>
      <c r="C1305">
        <v>14363785</v>
      </c>
      <c r="D1305" t="str">
        <f>"4607016814209"</f>
        <v>4607016814209</v>
      </c>
      <c r="E1305" t="s">
        <v>2542</v>
      </c>
      <c r="F1305" t="s">
        <v>1566</v>
      </c>
      <c r="G1305">
        <v>1</v>
      </c>
      <c r="H1305" t="s">
        <v>18</v>
      </c>
      <c r="I1305" t="s">
        <v>51</v>
      </c>
      <c r="J1305" t="s">
        <v>2468</v>
      </c>
      <c r="L1305" t="s">
        <v>18</v>
      </c>
      <c r="M1305" t="s">
        <v>2006</v>
      </c>
    </row>
    <row r="1306" spans="2:13" x14ac:dyDescent="0.25">
      <c r="B1306" t="s">
        <v>2520</v>
      </c>
      <c r="C1306">
        <v>15308542</v>
      </c>
      <c r="D1306" t="str">
        <f>"4627088105784"</f>
        <v>4627088105784</v>
      </c>
      <c r="E1306" t="s">
        <v>2543</v>
      </c>
      <c r="F1306" t="s">
        <v>2544</v>
      </c>
      <c r="G1306">
        <v>1</v>
      </c>
      <c r="H1306" t="s">
        <v>18</v>
      </c>
      <c r="I1306" t="s">
        <v>51</v>
      </c>
      <c r="J1306" t="s">
        <v>2483</v>
      </c>
      <c r="L1306" t="s">
        <v>18</v>
      </c>
      <c r="M1306" t="s">
        <v>2545</v>
      </c>
    </row>
    <row r="1307" spans="2:13" x14ac:dyDescent="0.25">
      <c r="B1307" t="s">
        <v>2520</v>
      </c>
      <c r="C1307">
        <v>15308551</v>
      </c>
      <c r="D1307" t="str">
        <f>"4627088105753"</f>
        <v>4627088105753</v>
      </c>
      <c r="E1307" t="s">
        <v>2546</v>
      </c>
      <c r="F1307" t="s">
        <v>2217</v>
      </c>
      <c r="G1307">
        <v>1</v>
      </c>
      <c r="H1307" t="s">
        <v>18</v>
      </c>
      <c r="I1307" t="s">
        <v>51</v>
      </c>
      <c r="J1307" t="s">
        <v>2483</v>
      </c>
      <c r="L1307" t="s">
        <v>18</v>
      </c>
      <c r="M1307" t="s">
        <v>2545</v>
      </c>
    </row>
    <row r="1308" spans="2:13" x14ac:dyDescent="0.25">
      <c r="B1308" t="s">
        <v>2520</v>
      </c>
      <c r="C1308">
        <v>15630515</v>
      </c>
      <c r="D1308" t="str">
        <f>"4607016817453"</f>
        <v>4607016817453</v>
      </c>
      <c r="E1308" t="s">
        <v>2547</v>
      </c>
      <c r="F1308" t="s">
        <v>749</v>
      </c>
      <c r="G1308">
        <v>1</v>
      </c>
      <c r="H1308" t="s">
        <v>18</v>
      </c>
      <c r="I1308" t="s">
        <v>16</v>
      </c>
      <c r="J1308" t="s">
        <v>2468</v>
      </c>
      <c r="L1308" t="s">
        <v>18</v>
      </c>
      <c r="M1308" t="s">
        <v>753</v>
      </c>
    </row>
    <row r="1309" spans="2:13" x14ac:dyDescent="0.25">
      <c r="B1309" t="s">
        <v>2520</v>
      </c>
      <c r="C1309">
        <v>15630523</v>
      </c>
      <c r="D1309" t="str">
        <f>"4607016819389"</f>
        <v>4607016819389</v>
      </c>
      <c r="E1309" t="s">
        <v>2548</v>
      </c>
      <c r="F1309" t="s">
        <v>1794</v>
      </c>
      <c r="G1309">
        <v>1</v>
      </c>
      <c r="H1309" t="s">
        <v>18</v>
      </c>
      <c r="I1309" t="s">
        <v>16</v>
      </c>
      <c r="J1309" t="s">
        <v>2468</v>
      </c>
      <c r="L1309" t="s">
        <v>18</v>
      </c>
      <c r="M1309" t="s">
        <v>2549</v>
      </c>
    </row>
    <row r="1310" spans="2:13" x14ac:dyDescent="0.25">
      <c r="B1310" t="s">
        <v>2520</v>
      </c>
      <c r="C1310">
        <v>16943290</v>
      </c>
      <c r="D1310" t="str">
        <f>"4607816930109"</f>
        <v>4607816930109</v>
      </c>
      <c r="E1310" t="s">
        <v>2550</v>
      </c>
      <c r="F1310" t="s">
        <v>194</v>
      </c>
      <c r="G1310">
        <v>1</v>
      </c>
      <c r="H1310" t="s">
        <v>18</v>
      </c>
      <c r="I1310" t="s">
        <v>16</v>
      </c>
      <c r="J1310" t="s">
        <v>2522</v>
      </c>
      <c r="L1310" t="s">
        <v>18</v>
      </c>
      <c r="M1310" t="s">
        <v>2523</v>
      </c>
    </row>
    <row r="1311" spans="2:13" x14ac:dyDescent="0.25">
      <c r="B1311" t="s">
        <v>2520</v>
      </c>
      <c r="C1311">
        <v>17263026</v>
      </c>
      <c r="D1311" t="str">
        <f>"4605196006681"</f>
        <v>4605196006681</v>
      </c>
      <c r="E1311" t="s">
        <v>2551</v>
      </c>
      <c r="F1311" t="s">
        <v>2552</v>
      </c>
      <c r="G1311">
        <v>1</v>
      </c>
      <c r="H1311" t="s">
        <v>18</v>
      </c>
      <c r="I1311" t="s">
        <v>16</v>
      </c>
      <c r="J1311" t="s">
        <v>1521</v>
      </c>
      <c r="L1311" t="s">
        <v>18</v>
      </c>
      <c r="M1311" t="s">
        <v>2553</v>
      </c>
    </row>
    <row r="1312" spans="2:13" x14ac:dyDescent="0.25">
      <c r="B1312" t="s">
        <v>2520</v>
      </c>
      <c r="C1312">
        <v>17838643</v>
      </c>
      <c r="D1312" t="str">
        <f>"4690602034532"</f>
        <v>4690602034532</v>
      </c>
      <c r="E1312" t="s">
        <v>2554</v>
      </c>
      <c r="F1312" t="s">
        <v>194</v>
      </c>
      <c r="G1312">
        <v>2</v>
      </c>
      <c r="H1312" t="s">
        <v>18</v>
      </c>
      <c r="I1312" t="s">
        <v>51</v>
      </c>
      <c r="J1312" t="s">
        <v>2555</v>
      </c>
      <c r="L1312" t="s">
        <v>18</v>
      </c>
      <c r="M1312" t="s">
        <v>2556</v>
      </c>
    </row>
    <row r="1313" spans="2:13" x14ac:dyDescent="0.25">
      <c r="B1313" t="s">
        <v>2520</v>
      </c>
      <c r="C1313">
        <v>17898494</v>
      </c>
      <c r="D1313" t="str">
        <f>"4605196019605"</f>
        <v>4605196019605</v>
      </c>
      <c r="E1313" t="s">
        <v>2557</v>
      </c>
      <c r="F1313" t="s">
        <v>768</v>
      </c>
      <c r="G1313">
        <v>1</v>
      </c>
      <c r="H1313" t="s">
        <v>18</v>
      </c>
      <c r="I1313" t="s">
        <v>16</v>
      </c>
      <c r="J1313" t="s">
        <v>1521</v>
      </c>
      <c r="L1313" t="s">
        <v>18</v>
      </c>
      <c r="M1313" t="s">
        <v>2410</v>
      </c>
    </row>
    <row r="1314" spans="2:13" x14ac:dyDescent="0.25">
      <c r="B1314" t="s">
        <v>2520</v>
      </c>
      <c r="C1314">
        <v>18135667</v>
      </c>
      <c r="D1314" t="str">
        <f>"4607110961458"</f>
        <v>4607110961458</v>
      </c>
      <c r="E1314" t="s">
        <v>2558</v>
      </c>
      <c r="F1314" t="s">
        <v>1524</v>
      </c>
      <c r="G1314">
        <v>1</v>
      </c>
      <c r="H1314" t="s">
        <v>18</v>
      </c>
      <c r="I1314" t="s">
        <v>16</v>
      </c>
      <c r="J1314" t="s">
        <v>1550</v>
      </c>
      <c r="K1314" s="1">
        <v>43007</v>
      </c>
      <c r="L1314" t="s">
        <v>18</v>
      </c>
      <c r="M1314" t="s">
        <v>2054</v>
      </c>
    </row>
    <row r="1315" spans="2:13" x14ac:dyDescent="0.25">
      <c r="B1315" t="s">
        <v>2520</v>
      </c>
      <c r="C1315">
        <v>18636550</v>
      </c>
      <c r="D1315" t="str">
        <f>"8695024034418"</f>
        <v>8695024034418</v>
      </c>
      <c r="E1315" t="s">
        <v>2559</v>
      </c>
      <c r="F1315" t="s">
        <v>165</v>
      </c>
      <c r="G1315">
        <v>1</v>
      </c>
      <c r="H1315" t="s">
        <v>18</v>
      </c>
      <c r="I1315" t="s">
        <v>16</v>
      </c>
      <c r="J1315" t="s">
        <v>1544</v>
      </c>
      <c r="L1315" t="s">
        <v>18</v>
      </c>
      <c r="M1315" t="s">
        <v>2560</v>
      </c>
    </row>
    <row r="1316" spans="2:13" x14ac:dyDescent="0.25">
      <c r="B1316" t="s">
        <v>2561</v>
      </c>
      <c r="C1316">
        <v>10978002</v>
      </c>
      <c r="D1316" t="str">
        <f>"8001244073128"</f>
        <v>8001244073128</v>
      </c>
      <c r="E1316" t="s">
        <v>2562</v>
      </c>
      <c r="F1316" t="s">
        <v>240</v>
      </c>
      <c r="G1316">
        <v>1</v>
      </c>
      <c r="H1316" t="s">
        <v>18</v>
      </c>
      <c r="I1316" t="s">
        <v>51</v>
      </c>
      <c r="J1316" t="s">
        <v>2483</v>
      </c>
      <c r="L1316" t="s">
        <v>18</v>
      </c>
      <c r="M1316" t="s">
        <v>2563</v>
      </c>
    </row>
    <row r="1317" spans="2:13" x14ac:dyDescent="0.25">
      <c r="B1317" t="s">
        <v>2561</v>
      </c>
      <c r="C1317">
        <v>10978045</v>
      </c>
      <c r="D1317" t="str">
        <f>"8001244073067"</f>
        <v>8001244073067</v>
      </c>
      <c r="E1317" t="s">
        <v>2564</v>
      </c>
      <c r="F1317" t="s">
        <v>1168</v>
      </c>
      <c r="G1317">
        <v>1</v>
      </c>
      <c r="H1317" t="s">
        <v>18</v>
      </c>
      <c r="I1317" t="s">
        <v>16</v>
      </c>
      <c r="J1317" t="s">
        <v>2483</v>
      </c>
      <c r="L1317" t="s">
        <v>18</v>
      </c>
      <c r="M1317" t="s">
        <v>2565</v>
      </c>
    </row>
    <row r="1318" spans="2:13" x14ac:dyDescent="0.25">
      <c r="B1318" t="s">
        <v>2561</v>
      </c>
      <c r="C1318">
        <v>10978408</v>
      </c>
      <c r="D1318" t="str">
        <f>"8001244460140"</f>
        <v>8001244460140</v>
      </c>
      <c r="E1318" t="s">
        <v>2566</v>
      </c>
      <c r="F1318" t="s">
        <v>295</v>
      </c>
      <c r="G1318">
        <v>1</v>
      </c>
      <c r="H1318" t="s">
        <v>18</v>
      </c>
      <c r="I1318" t="s">
        <v>16</v>
      </c>
      <c r="J1318" t="s">
        <v>2483</v>
      </c>
      <c r="L1318" t="s">
        <v>18</v>
      </c>
      <c r="M1318" t="s">
        <v>2567</v>
      </c>
    </row>
    <row r="1319" spans="2:13" x14ac:dyDescent="0.25">
      <c r="B1319" t="s">
        <v>2561</v>
      </c>
      <c r="C1319">
        <v>10978459</v>
      </c>
      <c r="D1319" t="str">
        <f>"8001244460164"</f>
        <v>8001244460164</v>
      </c>
      <c r="E1319" t="s">
        <v>2568</v>
      </c>
      <c r="F1319" t="s">
        <v>485</v>
      </c>
      <c r="G1319">
        <v>1</v>
      </c>
      <c r="H1319" t="s">
        <v>18</v>
      </c>
      <c r="I1319" t="s">
        <v>16</v>
      </c>
      <c r="J1319" t="s">
        <v>2483</v>
      </c>
      <c r="L1319" t="s">
        <v>18</v>
      </c>
      <c r="M1319" t="s">
        <v>2569</v>
      </c>
    </row>
    <row r="1320" spans="2:13" x14ac:dyDescent="0.25">
      <c r="B1320" t="s">
        <v>2561</v>
      </c>
      <c r="C1320">
        <v>11376986</v>
      </c>
      <c r="D1320" t="str">
        <f>"8001244073081"</f>
        <v>8001244073081</v>
      </c>
      <c r="E1320" t="s">
        <v>2570</v>
      </c>
      <c r="F1320" t="s">
        <v>1934</v>
      </c>
      <c r="G1320">
        <v>1</v>
      </c>
      <c r="H1320" t="s">
        <v>18</v>
      </c>
      <c r="I1320" t="s">
        <v>51</v>
      </c>
      <c r="J1320" t="s">
        <v>2483</v>
      </c>
      <c r="L1320" t="s">
        <v>18</v>
      </c>
      <c r="M1320" t="s">
        <v>2475</v>
      </c>
    </row>
    <row r="1321" spans="2:13" x14ac:dyDescent="0.25">
      <c r="B1321" t="s">
        <v>2561</v>
      </c>
      <c r="C1321">
        <v>12306277</v>
      </c>
      <c r="D1321" t="str">
        <f>"4680004881186"</f>
        <v>4680004881186</v>
      </c>
      <c r="E1321" t="s">
        <v>2571</v>
      </c>
      <c r="F1321" t="s">
        <v>295</v>
      </c>
      <c r="G1321">
        <v>1</v>
      </c>
      <c r="H1321" t="s">
        <v>18</v>
      </c>
      <c r="I1321" t="s">
        <v>16</v>
      </c>
      <c r="J1321" t="s">
        <v>2572</v>
      </c>
      <c r="L1321" t="s">
        <v>18</v>
      </c>
      <c r="M1321" t="s">
        <v>2573</v>
      </c>
    </row>
    <row r="1322" spans="2:13" x14ac:dyDescent="0.25">
      <c r="B1322" t="s">
        <v>2561</v>
      </c>
      <c r="C1322">
        <v>12306285</v>
      </c>
      <c r="D1322" t="str">
        <f>"4680004881131"</f>
        <v>4680004881131</v>
      </c>
      <c r="E1322" t="s">
        <v>2574</v>
      </c>
      <c r="F1322" t="s">
        <v>1934</v>
      </c>
      <c r="G1322">
        <v>1</v>
      </c>
      <c r="H1322" t="s">
        <v>18</v>
      </c>
      <c r="I1322" t="s">
        <v>16</v>
      </c>
      <c r="J1322" t="s">
        <v>2572</v>
      </c>
      <c r="L1322" t="s">
        <v>18</v>
      </c>
      <c r="M1322" t="s">
        <v>2575</v>
      </c>
    </row>
    <row r="1323" spans="2:13" x14ac:dyDescent="0.25">
      <c r="B1323" t="s">
        <v>2561</v>
      </c>
      <c r="C1323">
        <v>12306293</v>
      </c>
      <c r="D1323" t="str">
        <f>"4680004881209"</f>
        <v>4680004881209</v>
      </c>
      <c r="E1323" t="s">
        <v>2576</v>
      </c>
      <c r="F1323" t="s">
        <v>2464</v>
      </c>
      <c r="G1323">
        <v>1</v>
      </c>
      <c r="H1323" t="s">
        <v>18</v>
      </c>
      <c r="I1323" t="s">
        <v>16</v>
      </c>
      <c r="J1323" t="s">
        <v>2572</v>
      </c>
      <c r="L1323" t="s">
        <v>18</v>
      </c>
      <c r="M1323" t="s">
        <v>2577</v>
      </c>
    </row>
    <row r="1324" spans="2:13" x14ac:dyDescent="0.25">
      <c r="B1324" t="s">
        <v>2561</v>
      </c>
      <c r="C1324">
        <v>12306306</v>
      </c>
      <c r="D1324" t="str">
        <f>"4680004881216"</f>
        <v>4680004881216</v>
      </c>
      <c r="E1324" t="s">
        <v>2578</v>
      </c>
      <c r="F1324" t="s">
        <v>1880</v>
      </c>
      <c r="G1324">
        <v>1</v>
      </c>
      <c r="H1324" t="s">
        <v>18</v>
      </c>
      <c r="I1324" t="s">
        <v>16</v>
      </c>
      <c r="J1324" t="s">
        <v>2572</v>
      </c>
      <c r="L1324" t="s">
        <v>18</v>
      </c>
      <c r="M1324" t="s">
        <v>2579</v>
      </c>
    </row>
    <row r="1325" spans="2:13" x14ac:dyDescent="0.25">
      <c r="B1325" t="s">
        <v>2561</v>
      </c>
      <c r="C1325">
        <v>12349875</v>
      </c>
      <c r="D1325" t="str">
        <f>"8001244850002"</f>
        <v>8001244850002</v>
      </c>
      <c r="E1325" t="s">
        <v>2580</v>
      </c>
      <c r="F1325" t="s">
        <v>1126</v>
      </c>
      <c r="G1325">
        <v>1</v>
      </c>
      <c r="H1325" t="s">
        <v>18</v>
      </c>
      <c r="I1325" t="s">
        <v>16</v>
      </c>
      <c r="J1325" t="s">
        <v>2581</v>
      </c>
      <c r="L1325" t="s">
        <v>18</v>
      </c>
      <c r="M1325" t="s">
        <v>2061</v>
      </c>
    </row>
    <row r="1326" spans="2:13" x14ac:dyDescent="0.25">
      <c r="B1326" t="s">
        <v>2561</v>
      </c>
      <c r="C1326">
        <v>12349891</v>
      </c>
      <c r="D1326" t="str">
        <f>"8001244860001"</f>
        <v>8001244860001</v>
      </c>
      <c r="E1326" t="s">
        <v>2582</v>
      </c>
      <c r="F1326" t="s">
        <v>1524</v>
      </c>
      <c r="G1326">
        <v>1</v>
      </c>
      <c r="H1326" t="s">
        <v>18</v>
      </c>
      <c r="I1326" t="s">
        <v>16</v>
      </c>
      <c r="J1326" t="s">
        <v>2581</v>
      </c>
      <c r="L1326" t="s">
        <v>18</v>
      </c>
      <c r="M1326" t="s">
        <v>2583</v>
      </c>
    </row>
    <row r="1327" spans="2:13" x14ac:dyDescent="0.25">
      <c r="B1327" t="s">
        <v>2561</v>
      </c>
      <c r="C1327">
        <v>12790855</v>
      </c>
      <c r="D1327" t="str">
        <f>"4710694548301"</f>
        <v>4710694548301</v>
      </c>
      <c r="E1327" t="s">
        <v>2584</v>
      </c>
      <c r="F1327" t="s">
        <v>1594</v>
      </c>
      <c r="G1327">
        <v>1</v>
      </c>
      <c r="H1327" t="s">
        <v>18</v>
      </c>
      <c r="I1327" t="s">
        <v>16</v>
      </c>
      <c r="J1327" t="s">
        <v>1553</v>
      </c>
      <c r="L1327" t="s">
        <v>18</v>
      </c>
      <c r="M1327" t="s">
        <v>2585</v>
      </c>
    </row>
    <row r="1328" spans="2:13" x14ac:dyDescent="0.25">
      <c r="B1328" t="s">
        <v>2561</v>
      </c>
      <c r="C1328">
        <v>12790919</v>
      </c>
      <c r="D1328" t="str">
        <f>"4710694548325"</f>
        <v>4710694548325</v>
      </c>
      <c r="E1328" t="s">
        <v>2586</v>
      </c>
      <c r="F1328" t="s">
        <v>1422</v>
      </c>
      <c r="G1328">
        <v>1</v>
      </c>
      <c r="H1328" t="s">
        <v>18</v>
      </c>
      <c r="I1328" t="s">
        <v>16</v>
      </c>
      <c r="J1328" t="s">
        <v>1553</v>
      </c>
      <c r="L1328" t="s">
        <v>18</v>
      </c>
      <c r="M1328" t="s">
        <v>2587</v>
      </c>
    </row>
    <row r="1329" spans="2:13" x14ac:dyDescent="0.25">
      <c r="B1329" t="s">
        <v>2561</v>
      </c>
      <c r="C1329">
        <v>14329501</v>
      </c>
      <c r="D1329" t="str">
        <f>"8001244011885"</f>
        <v>8001244011885</v>
      </c>
      <c r="E1329" t="s">
        <v>2588</v>
      </c>
      <c r="F1329" t="s">
        <v>191</v>
      </c>
      <c r="G1329">
        <v>1</v>
      </c>
      <c r="H1329" t="s">
        <v>18</v>
      </c>
      <c r="I1329" t="s">
        <v>16</v>
      </c>
      <c r="J1329" t="s">
        <v>2581</v>
      </c>
      <c r="L1329" t="s">
        <v>18</v>
      </c>
      <c r="M1329" t="s">
        <v>2589</v>
      </c>
    </row>
    <row r="1330" spans="2:13" x14ac:dyDescent="0.25">
      <c r="B1330" t="s">
        <v>2561</v>
      </c>
      <c r="C1330">
        <v>14329510</v>
      </c>
      <c r="D1330" t="str">
        <f>"8001244011908"</f>
        <v>8001244011908</v>
      </c>
      <c r="E1330" t="s">
        <v>2590</v>
      </c>
      <c r="F1330" t="s">
        <v>2591</v>
      </c>
      <c r="G1330">
        <v>1</v>
      </c>
      <c r="H1330" t="s">
        <v>18</v>
      </c>
      <c r="I1330" t="s">
        <v>16</v>
      </c>
      <c r="J1330" t="s">
        <v>2581</v>
      </c>
      <c r="L1330" t="s">
        <v>18</v>
      </c>
      <c r="M1330" t="s">
        <v>1441</v>
      </c>
    </row>
    <row r="1331" spans="2:13" x14ac:dyDescent="0.25">
      <c r="B1331" t="s">
        <v>2561</v>
      </c>
      <c r="C1331">
        <v>15562305</v>
      </c>
      <c r="D1331" t="str">
        <f>"3276005415225"</f>
        <v>3276005415225</v>
      </c>
      <c r="E1331" t="s">
        <v>2592</v>
      </c>
      <c r="F1331" t="s">
        <v>1782</v>
      </c>
      <c r="G1331">
        <v>1</v>
      </c>
      <c r="H1331" t="s">
        <v>18</v>
      </c>
      <c r="I1331" t="s">
        <v>16</v>
      </c>
      <c r="J1331" t="s">
        <v>17</v>
      </c>
      <c r="L1331" t="s">
        <v>18</v>
      </c>
      <c r="M1331" t="s">
        <v>2026</v>
      </c>
    </row>
    <row r="1332" spans="2:13" x14ac:dyDescent="0.25">
      <c r="B1332" t="s">
        <v>2561</v>
      </c>
      <c r="C1332">
        <v>15562313</v>
      </c>
      <c r="D1332" t="str">
        <f>"3276005415195"</f>
        <v>3276005415195</v>
      </c>
      <c r="E1332" t="s">
        <v>2593</v>
      </c>
      <c r="F1332" t="s">
        <v>2594</v>
      </c>
      <c r="G1332">
        <v>1</v>
      </c>
      <c r="H1332" t="s">
        <v>18</v>
      </c>
      <c r="I1332" t="s">
        <v>16</v>
      </c>
      <c r="J1332" t="s">
        <v>17</v>
      </c>
      <c r="L1332" t="s">
        <v>18</v>
      </c>
      <c r="M1332" t="s">
        <v>2595</v>
      </c>
    </row>
    <row r="1333" spans="2:13" x14ac:dyDescent="0.25">
      <c r="B1333" t="s">
        <v>2561</v>
      </c>
      <c r="C1333">
        <v>15623606</v>
      </c>
      <c r="D1333" t="str">
        <f>"4630021680309"</f>
        <v>4630021680309</v>
      </c>
      <c r="E1333" t="s">
        <v>2596</v>
      </c>
      <c r="F1333" t="s">
        <v>242</v>
      </c>
      <c r="G1333">
        <v>1</v>
      </c>
      <c r="H1333" t="s">
        <v>18</v>
      </c>
      <c r="I1333" t="s">
        <v>16</v>
      </c>
      <c r="J1333" t="s">
        <v>1525</v>
      </c>
      <c r="L1333" t="s">
        <v>18</v>
      </c>
      <c r="M1333" t="s">
        <v>2222</v>
      </c>
    </row>
    <row r="1334" spans="2:13" x14ac:dyDescent="0.25">
      <c r="B1334" t="s">
        <v>2561</v>
      </c>
      <c r="C1334">
        <v>15623702</v>
      </c>
      <c r="D1334" t="str">
        <f>"4630021680347"</f>
        <v>4630021680347</v>
      </c>
      <c r="E1334" t="s">
        <v>2597</v>
      </c>
      <c r="F1334" t="s">
        <v>277</v>
      </c>
      <c r="G1334">
        <v>1</v>
      </c>
      <c r="H1334" t="s">
        <v>18</v>
      </c>
      <c r="I1334" t="s">
        <v>16</v>
      </c>
      <c r="J1334" t="s">
        <v>1525</v>
      </c>
      <c r="L1334" t="s">
        <v>18</v>
      </c>
      <c r="M1334" t="s">
        <v>2598</v>
      </c>
    </row>
    <row r="1335" spans="2:13" x14ac:dyDescent="0.25">
      <c r="B1335" t="s">
        <v>2561</v>
      </c>
      <c r="C1335">
        <v>15640334</v>
      </c>
      <c r="D1335" t="str">
        <f>"4630021680330"</f>
        <v>4630021680330</v>
      </c>
      <c r="E1335" t="s">
        <v>2599</v>
      </c>
      <c r="F1335" t="s">
        <v>525</v>
      </c>
      <c r="G1335">
        <v>1</v>
      </c>
      <c r="H1335" t="s">
        <v>18</v>
      </c>
      <c r="I1335" t="s">
        <v>16</v>
      </c>
      <c r="J1335" t="s">
        <v>1525</v>
      </c>
      <c r="L1335" t="s">
        <v>18</v>
      </c>
      <c r="M1335" t="s">
        <v>2600</v>
      </c>
    </row>
    <row r="1336" spans="2:13" x14ac:dyDescent="0.25">
      <c r="B1336" t="s">
        <v>2561</v>
      </c>
      <c r="C1336">
        <v>15640342</v>
      </c>
      <c r="D1336" t="str">
        <f>"4630021680354"</f>
        <v>4630021680354</v>
      </c>
      <c r="E1336" t="s">
        <v>2601</v>
      </c>
      <c r="F1336" t="s">
        <v>227</v>
      </c>
      <c r="G1336">
        <v>1</v>
      </c>
      <c r="H1336" t="s">
        <v>18</v>
      </c>
      <c r="I1336" t="s">
        <v>16</v>
      </c>
      <c r="J1336" t="s">
        <v>1525</v>
      </c>
      <c r="L1336" t="s">
        <v>18</v>
      </c>
      <c r="M1336" t="s">
        <v>2602</v>
      </c>
    </row>
    <row r="1337" spans="2:13" x14ac:dyDescent="0.25">
      <c r="B1337" t="s">
        <v>2561</v>
      </c>
      <c r="C1337">
        <v>16914472</v>
      </c>
      <c r="D1337" t="str">
        <f>"3276005647367"</f>
        <v>3276005647367</v>
      </c>
      <c r="E1337" t="s">
        <v>2603</v>
      </c>
      <c r="F1337" t="s">
        <v>410</v>
      </c>
      <c r="G1337">
        <v>1</v>
      </c>
      <c r="H1337" t="s">
        <v>18</v>
      </c>
      <c r="I1337" t="s">
        <v>16</v>
      </c>
      <c r="J1337" t="s">
        <v>28</v>
      </c>
      <c r="L1337" t="s">
        <v>18</v>
      </c>
      <c r="M1337" t="s">
        <v>2604</v>
      </c>
    </row>
    <row r="1338" spans="2:13" x14ac:dyDescent="0.25">
      <c r="B1338" t="s">
        <v>2561</v>
      </c>
      <c r="C1338">
        <v>16915299</v>
      </c>
      <c r="D1338" t="str">
        <f>"3276005645028"</f>
        <v>3276005645028</v>
      </c>
      <c r="E1338" t="s">
        <v>2605</v>
      </c>
      <c r="F1338" t="s">
        <v>413</v>
      </c>
      <c r="G1338">
        <v>1</v>
      </c>
      <c r="H1338" t="s">
        <v>18</v>
      </c>
      <c r="I1338" t="s">
        <v>16</v>
      </c>
      <c r="J1338" t="s">
        <v>17</v>
      </c>
      <c r="L1338" t="s">
        <v>18</v>
      </c>
      <c r="M1338" t="s">
        <v>2606</v>
      </c>
    </row>
    <row r="1339" spans="2:13" x14ac:dyDescent="0.25">
      <c r="B1339" t="s">
        <v>2561</v>
      </c>
      <c r="C1339">
        <v>16915301</v>
      </c>
      <c r="D1339" t="str">
        <f>"3276005644960"</f>
        <v>3276005644960</v>
      </c>
      <c r="E1339" t="s">
        <v>2607</v>
      </c>
      <c r="F1339" t="s">
        <v>174</v>
      </c>
      <c r="G1339">
        <v>1</v>
      </c>
      <c r="H1339" t="s">
        <v>18</v>
      </c>
      <c r="I1339" t="s">
        <v>16</v>
      </c>
      <c r="J1339" t="s">
        <v>17</v>
      </c>
      <c r="L1339" t="s">
        <v>18</v>
      </c>
      <c r="M1339" t="s">
        <v>786</v>
      </c>
    </row>
    <row r="1340" spans="2:13" x14ac:dyDescent="0.25">
      <c r="B1340" t="s">
        <v>2561</v>
      </c>
      <c r="C1340">
        <v>17124309</v>
      </c>
      <c r="D1340" t="str">
        <f>"3276005802766"</f>
        <v>3276005802766</v>
      </c>
      <c r="E1340" t="s">
        <v>2608</v>
      </c>
      <c r="F1340" t="s">
        <v>165</v>
      </c>
      <c r="G1340">
        <v>1</v>
      </c>
      <c r="H1340" t="s">
        <v>18</v>
      </c>
      <c r="I1340" t="s">
        <v>16</v>
      </c>
      <c r="J1340" t="s">
        <v>17</v>
      </c>
      <c r="L1340" t="s">
        <v>18</v>
      </c>
      <c r="M1340" t="s">
        <v>280</v>
      </c>
    </row>
    <row r="1341" spans="2:13" x14ac:dyDescent="0.25">
      <c r="B1341" t="s">
        <v>2609</v>
      </c>
      <c r="C1341">
        <v>15475658</v>
      </c>
      <c r="D1341" t="str">
        <f>"8695024072311"</f>
        <v>8695024072311</v>
      </c>
      <c r="E1341" t="s">
        <v>2610</v>
      </c>
      <c r="F1341" t="s">
        <v>2611</v>
      </c>
      <c r="G1341">
        <v>1</v>
      </c>
      <c r="H1341" t="s">
        <v>18</v>
      </c>
      <c r="I1341" t="s">
        <v>16</v>
      </c>
      <c r="J1341" t="s">
        <v>1544</v>
      </c>
      <c r="L1341" t="s">
        <v>18</v>
      </c>
      <c r="M1341" t="s">
        <v>2612</v>
      </c>
    </row>
    <row r="1342" spans="2:13" x14ac:dyDescent="0.25">
      <c r="B1342" t="s">
        <v>2609</v>
      </c>
      <c r="C1342">
        <v>15475666</v>
      </c>
      <c r="D1342" t="str">
        <f>"8695024600224"</f>
        <v>8695024600224</v>
      </c>
      <c r="E1342" t="s">
        <v>2613</v>
      </c>
      <c r="F1342" t="s">
        <v>366</v>
      </c>
      <c r="G1342">
        <v>1</v>
      </c>
      <c r="H1342" t="s">
        <v>18</v>
      </c>
      <c r="I1342" t="s">
        <v>16</v>
      </c>
      <c r="J1342" t="s">
        <v>1544</v>
      </c>
      <c r="L1342" t="s">
        <v>18</v>
      </c>
      <c r="M1342" t="s">
        <v>2614</v>
      </c>
    </row>
    <row r="1343" spans="2:13" x14ac:dyDescent="0.25">
      <c r="B1343" t="s">
        <v>2609</v>
      </c>
      <c r="C1343">
        <v>15734613</v>
      </c>
      <c r="D1343" t="str">
        <f>"6903845101113"</f>
        <v>6903845101113</v>
      </c>
      <c r="E1343" t="s">
        <v>2615</v>
      </c>
      <c r="F1343" t="s">
        <v>491</v>
      </c>
      <c r="G1343">
        <v>1</v>
      </c>
      <c r="H1343" t="s">
        <v>18</v>
      </c>
      <c r="I1343" t="s">
        <v>16</v>
      </c>
      <c r="J1343" t="s">
        <v>360</v>
      </c>
      <c r="L1343" t="s">
        <v>18</v>
      </c>
      <c r="M1343" t="s">
        <v>2616</v>
      </c>
    </row>
    <row r="1344" spans="2:13" x14ac:dyDescent="0.25">
      <c r="B1344" t="s">
        <v>2609</v>
      </c>
      <c r="C1344">
        <v>18425120</v>
      </c>
      <c r="D1344" t="str">
        <f>"3276000216438"</f>
        <v>3276000216438</v>
      </c>
      <c r="E1344" t="s">
        <v>2617</v>
      </c>
      <c r="F1344" t="s">
        <v>194</v>
      </c>
      <c r="G1344">
        <v>1</v>
      </c>
      <c r="H1344" t="s">
        <v>18</v>
      </c>
      <c r="I1344" t="s">
        <v>16</v>
      </c>
      <c r="J1344" t="s">
        <v>28</v>
      </c>
      <c r="L1344" t="s">
        <v>18</v>
      </c>
      <c r="M1344" t="s">
        <v>2073</v>
      </c>
    </row>
    <row r="1345" spans="2:13" x14ac:dyDescent="0.25">
      <c r="B1345" t="s">
        <v>2609</v>
      </c>
      <c r="C1345">
        <v>18425189</v>
      </c>
      <c r="D1345" t="str">
        <f>"3276000216186"</f>
        <v>3276000216186</v>
      </c>
      <c r="E1345" t="s">
        <v>2618</v>
      </c>
      <c r="F1345" t="s">
        <v>194</v>
      </c>
      <c r="G1345">
        <v>1</v>
      </c>
      <c r="H1345" t="s">
        <v>18</v>
      </c>
      <c r="I1345" t="s">
        <v>16</v>
      </c>
      <c r="J1345" t="s">
        <v>28</v>
      </c>
      <c r="L1345" t="s">
        <v>18</v>
      </c>
      <c r="M1345" t="s">
        <v>2073</v>
      </c>
    </row>
    <row r="1346" spans="2:13" x14ac:dyDescent="0.25">
      <c r="B1346" t="s">
        <v>2609</v>
      </c>
      <c r="C1346">
        <v>18425251</v>
      </c>
      <c r="D1346" t="str">
        <f>"3276000215813"</f>
        <v>3276000215813</v>
      </c>
      <c r="E1346" t="s">
        <v>2619</v>
      </c>
      <c r="F1346" t="s">
        <v>194</v>
      </c>
      <c r="G1346">
        <v>1</v>
      </c>
      <c r="H1346" t="s">
        <v>18</v>
      </c>
      <c r="I1346" t="s">
        <v>16</v>
      </c>
      <c r="J1346" t="s">
        <v>28</v>
      </c>
      <c r="L1346" t="s">
        <v>18</v>
      </c>
      <c r="M1346" t="s">
        <v>2575</v>
      </c>
    </row>
    <row r="1347" spans="2:13" x14ac:dyDescent="0.25">
      <c r="B1347" t="s">
        <v>2609</v>
      </c>
      <c r="C1347">
        <v>18425269</v>
      </c>
      <c r="D1347" t="str">
        <f>"3276000215776"</f>
        <v>3276000215776</v>
      </c>
      <c r="E1347" t="s">
        <v>2620</v>
      </c>
      <c r="F1347" t="s">
        <v>194</v>
      </c>
      <c r="G1347">
        <v>1</v>
      </c>
      <c r="H1347" t="s">
        <v>18</v>
      </c>
      <c r="I1347" t="s">
        <v>16</v>
      </c>
      <c r="J1347" t="s">
        <v>17</v>
      </c>
      <c r="L1347" t="s">
        <v>18</v>
      </c>
      <c r="M1347" t="s">
        <v>2575</v>
      </c>
    </row>
    <row r="1348" spans="2:13" x14ac:dyDescent="0.25">
      <c r="B1348" t="s">
        <v>2621</v>
      </c>
      <c r="C1348">
        <v>10361600</v>
      </c>
      <c r="D1348" t="str">
        <f>"4607047308029"</f>
        <v>4607047308029</v>
      </c>
      <c r="E1348" t="s">
        <v>2622</v>
      </c>
      <c r="F1348" t="s">
        <v>1917</v>
      </c>
      <c r="G1348">
        <v>1</v>
      </c>
      <c r="H1348" t="s">
        <v>18</v>
      </c>
      <c r="I1348" t="s">
        <v>16</v>
      </c>
      <c r="J1348" t="s">
        <v>2623</v>
      </c>
      <c r="L1348" t="s">
        <v>18</v>
      </c>
      <c r="M1348" t="s">
        <v>2248</v>
      </c>
    </row>
    <row r="1349" spans="2:13" x14ac:dyDescent="0.25">
      <c r="B1349" t="s">
        <v>2621</v>
      </c>
      <c r="C1349">
        <v>10363489</v>
      </c>
      <c r="D1349" t="str">
        <f>"4607047304915"</f>
        <v>4607047304915</v>
      </c>
      <c r="E1349" t="s">
        <v>2624</v>
      </c>
      <c r="F1349" t="s">
        <v>466</v>
      </c>
      <c r="G1349">
        <v>1</v>
      </c>
      <c r="H1349" t="s">
        <v>18</v>
      </c>
      <c r="I1349" t="s">
        <v>16</v>
      </c>
      <c r="J1349" t="s">
        <v>2623</v>
      </c>
      <c r="L1349" t="s">
        <v>18</v>
      </c>
      <c r="M1349" t="s">
        <v>2125</v>
      </c>
    </row>
    <row r="1350" spans="2:13" x14ac:dyDescent="0.25">
      <c r="B1350" t="s">
        <v>2621</v>
      </c>
      <c r="C1350">
        <v>10363884</v>
      </c>
      <c r="D1350" t="str">
        <f>"4630004980921"</f>
        <v>4630004980921</v>
      </c>
      <c r="E1350" t="s">
        <v>2625</v>
      </c>
      <c r="F1350" t="s">
        <v>1558</v>
      </c>
      <c r="G1350">
        <v>1</v>
      </c>
      <c r="H1350" t="s">
        <v>18</v>
      </c>
      <c r="I1350" t="s">
        <v>16</v>
      </c>
      <c r="J1350" t="s">
        <v>2623</v>
      </c>
      <c r="L1350" t="s">
        <v>18</v>
      </c>
      <c r="M1350" t="s">
        <v>2125</v>
      </c>
    </row>
    <row r="1351" spans="2:13" x14ac:dyDescent="0.25">
      <c r="B1351" t="s">
        <v>2621</v>
      </c>
      <c r="C1351">
        <v>13528584</v>
      </c>
      <c r="D1351" t="str">
        <f>"4607157119522"</f>
        <v>4607157119522</v>
      </c>
      <c r="E1351" t="s">
        <v>2626</v>
      </c>
      <c r="F1351" t="s">
        <v>1524</v>
      </c>
      <c r="G1351">
        <v>1</v>
      </c>
      <c r="H1351" t="s">
        <v>18</v>
      </c>
      <c r="I1351" t="s">
        <v>16</v>
      </c>
      <c r="J1351" t="s">
        <v>1556</v>
      </c>
      <c r="L1351" t="s">
        <v>18</v>
      </c>
      <c r="M1351" t="s">
        <v>2627</v>
      </c>
    </row>
    <row r="1352" spans="2:13" x14ac:dyDescent="0.25">
      <c r="B1352" t="s">
        <v>2621</v>
      </c>
      <c r="C1352">
        <v>15790375</v>
      </c>
      <c r="D1352" t="str">
        <f>"4607816930086"</f>
        <v>4607816930086</v>
      </c>
      <c r="E1352" t="s">
        <v>2628</v>
      </c>
      <c r="F1352" t="s">
        <v>1161</v>
      </c>
      <c r="G1352">
        <v>1</v>
      </c>
      <c r="H1352" t="s">
        <v>18</v>
      </c>
      <c r="I1352" t="s">
        <v>16</v>
      </c>
      <c r="J1352" t="s">
        <v>2522</v>
      </c>
      <c r="L1352" t="s">
        <v>18</v>
      </c>
      <c r="M1352" t="s">
        <v>2224</v>
      </c>
    </row>
    <row r="1353" spans="2:13" x14ac:dyDescent="0.25">
      <c r="B1353" t="s">
        <v>2621</v>
      </c>
      <c r="C1353">
        <v>16072332</v>
      </c>
      <c r="D1353" t="str">
        <f>"4670009590022"</f>
        <v>4670009590022</v>
      </c>
      <c r="E1353" t="s">
        <v>2629</v>
      </c>
      <c r="F1353" t="s">
        <v>1520</v>
      </c>
      <c r="G1353">
        <v>1</v>
      </c>
      <c r="H1353" t="s">
        <v>18</v>
      </c>
      <c r="I1353" t="s">
        <v>16</v>
      </c>
      <c r="J1353" t="s">
        <v>1556</v>
      </c>
      <c r="L1353" t="s">
        <v>18</v>
      </c>
      <c r="M1353" t="s">
        <v>2630</v>
      </c>
    </row>
    <row r="1354" spans="2:13" x14ac:dyDescent="0.25">
      <c r="B1354" t="s">
        <v>2621</v>
      </c>
      <c r="C1354">
        <v>17895488</v>
      </c>
      <c r="D1354" t="str">
        <f>"4627112610932"</f>
        <v>4627112610932</v>
      </c>
      <c r="E1354" t="s">
        <v>2631</v>
      </c>
      <c r="F1354" t="s">
        <v>185</v>
      </c>
      <c r="G1354">
        <v>1</v>
      </c>
      <c r="H1354" t="s">
        <v>18</v>
      </c>
      <c r="I1354" t="s">
        <v>16</v>
      </c>
      <c r="J1354" t="s">
        <v>892</v>
      </c>
      <c r="L1354" t="s">
        <v>18</v>
      </c>
      <c r="M1354" t="s">
        <v>2632</v>
      </c>
    </row>
    <row r="1355" spans="2:13" x14ac:dyDescent="0.25">
      <c r="B1355" t="s">
        <v>2621</v>
      </c>
      <c r="C1355">
        <v>17895496</v>
      </c>
      <c r="D1355" t="str">
        <f>"4627112610901"</f>
        <v>4627112610901</v>
      </c>
      <c r="E1355" t="s">
        <v>2633</v>
      </c>
      <c r="F1355" t="s">
        <v>1025</v>
      </c>
      <c r="G1355">
        <v>1</v>
      </c>
      <c r="H1355" t="s">
        <v>18</v>
      </c>
      <c r="I1355" t="s">
        <v>16</v>
      </c>
      <c r="J1355" t="s">
        <v>892</v>
      </c>
      <c r="L1355" t="s">
        <v>18</v>
      </c>
      <c r="M1355" t="s">
        <v>2359</v>
      </c>
    </row>
    <row r="1356" spans="2:13" x14ac:dyDescent="0.25">
      <c r="B1356" t="s">
        <v>2621</v>
      </c>
      <c r="C1356">
        <v>17895509</v>
      </c>
      <c r="D1356" t="str">
        <f>"4627112610925"</f>
        <v>4627112610925</v>
      </c>
      <c r="E1356" t="s">
        <v>2634</v>
      </c>
      <c r="F1356" t="s">
        <v>185</v>
      </c>
      <c r="G1356">
        <v>1</v>
      </c>
      <c r="H1356" t="s">
        <v>18</v>
      </c>
      <c r="I1356" t="s">
        <v>16</v>
      </c>
      <c r="J1356" t="s">
        <v>892</v>
      </c>
      <c r="L1356" t="s">
        <v>18</v>
      </c>
      <c r="M1356" t="s">
        <v>2359</v>
      </c>
    </row>
    <row r="1357" spans="2:13" x14ac:dyDescent="0.25">
      <c r="B1357" t="s">
        <v>2621</v>
      </c>
      <c r="C1357">
        <v>17895517</v>
      </c>
      <c r="D1357" t="str">
        <f>"4627112610918"</f>
        <v>4627112610918</v>
      </c>
      <c r="E1357" t="s">
        <v>2635</v>
      </c>
      <c r="F1357" t="s">
        <v>413</v>
      </c>
      <c r="G1357">
        <v>1</v>
      </c>
      <c r="H1357" t="s">
        <v>18</v>
      </c>
      <c r="I1357" t="s">
        <v>16</v>
      </c>
      <c r="J1357" t="s">
        <v>892</v>
      </c>
      <c r="L1357" t="s">
        <v>18</v>
      </c>
      <c r="M1357" t="s">
        <v>2359</v>
      </c>
    </row>
    <row r="1358" spans="2:13" x14ac:dyDescent="0.25">
      <c r="B1358" t="s">
        <v>2621</v>
      </c>
      <c r="C1358">
        <v>17895584</v>
      </c>
      <c r="D1358" t="str">
        <f>"4630021680538"</f>
        <v>4630021680538</v>
      </c>
      <c r="E1358" t="s">
        <v>2636</v>
      </c>
      <c r="F1358" t="s">
        <v>788</v>
      </c>
      <c r="G1358">
        <v>1</v>
      </c>
      <c r="H1358" t="s">
        <v>18</v>
      </c>
      <c r="I1358" t="s">
        <v>16</v>
      </c>
      <c r="J1358" t="s">
        <v>1525</v>
      </c>
      <c r="L1358" t="s">
        <v>18</v>
      </c>
      <c r="M1358" t="s">
        <v>2637</v>
      </c>
    </row>
    <row r="1359" spans="2:13" x14ac:dyDescent="0.25">
      <c r="B1359" t="s">
        <v>2621</v>
      </c>
      <c r="C1359">
        <v>17895592</v>
      </c>
      <c r="D1359" t="str">
        <f>"4630021680545"</f>
        <v>4630021680545</v>
      </c>
      <c r="E1359" t="s">
        <v>2638</v>
      </c>
      <c r="F1359" t="s">
        <v>328</v>
      </c>
      <c r="G1359">
        <v>1</v>
      </c>
      <c r="H1359" t="s">
        <v>18</v>
      </c>
      <c r="I1359" t="s">
        <v>16</v>
      </c>
      <c r="J1359" t="s">
        <v>1525</v>
      </c>
      <c r="L1359" t="s">
        <v>18</v>
      </c>
      <c r="M1359" t="s">
        <v>2637</v>
      </c>
    </row>
    <row r="1360" spans="2:13" x14ac:dyDescent="0.25">
      <c r="B1360" t="s">
        <v>2621</v>
      </c>
      <c r="C1360">
        <v>17895605</v>
      </c>
      <c r="D1360" t="str">
        <f>"4630021680552"</f>
        <v>4630021680552</v>
      </c>
      <c r="E1360" t="s">
        <v>2639</v>
      </c>
      <c r="F1360" t="s">
        <v>1594</v>
      </c>
      <c r="G1360">
        <v>1</v>
      </c>
      <c r="H1360" t="s">
        <v>18</v>
      </c>
      <c r="I1360" t="s">
        <v>16</v>
      </c>
      <c r="J1360" t="s">
        <v>1525</v>
      </c>
      <c r="L1360" t="s">
        <v>18</v>
      </c>
      <c r="M1360" t="s">
        <v>2637</v>
      </c>
    </row>
    <row r="1361" spans="2:13" x14ac:dyDescent="0.25">
      <c r="B1361" t="s">
        <v>2621</v>
      </c>
      <c r="C1361">
        <v>17895613</v>
      </c>
      <c r="D1361" t="str">
        <f>"4630021680569"</f>
        <v>4630021680569</v>
      </c>
      <c r="E1361" t="s">
        <v>2640</v>
      </c>
      <c r="F1361" t="s">
        <v>466</v>
      </c>
      <c r="G1361">
        <v>1</v>
      </c>
      <c r="H1361" t="s">
        <v>18</v>
      </c>
      <c r="I1361" t="s">
        <v>16</v>
      </c>
      <c r="J1361" t="s">
        <v>1525</v>
      </c>
      <c r="L1361" t="s">
        <v>18</v>
      </c>
      <c r="M1361" t="s">
        <v>2637</v>
      </c>
    </row>
    <row r="1362" spans="2:13" x14ac:dyDescent="0.25">
      <c r="B1362" t="s">
        <v>2641</v>
      </c>
      <c r="C1362">
        <v>13872094</v>
      </c>
      <c r="D1362" t="str">
        <f>"4670009592798"</f>
        <v>4670009592798</v>
      </c>
      <c r="E1362" t="s">
        <v>2642</v>
      </c>
      <c r="F1362" t="s">
        <v>1126</v>
      </c>
      <c r="G1362">
        <v>1</v>
      </c>
      <c r="H1362" t="s">
        <v>18</v>
      </c>
      <c r="I1362" t="s">
        <v>16</v>
      </c>
      <c r="J1362" t="s">
        <v>1556</v>
      </c>
      <c r="L1362" t="s">
        <v>18</v>
      </c>
      <c r="M1362" t="s">
        <v>2048</v>
      </c>
    </row>
    <row r="1363" spans="2:13" x14ac:dyDescent="0.25">
      <c r="B1363" t="s">
        <v>2643</v>
      </c>
      <c r="C1363">
        <v>10242548</v>
      </c>
      <c r="D1363" t="str">
        <f>"6905722180044"</f>
        <v>6905722180044</v>
      </c>
      <c r="E1363" t="s">
        <v>2644</v>
      </c>
      <c r="F1363" t="s">
        <v>1998</v>
      </c>
      <c r="G1363">
        <v>1</v>
      </c>
      <c r="H1363" t="s">
        <v>18</v>
      </c>
      <c r="I1363" t="s">
        <v>16</v>
      </c>
      <c r="J1363" t="s">
        <v>360</v>
      </c>
      <c r="L1363" t="s">
        <v>18</v>
      </c>
      <c r="M1363" t="s">
        <v>2587</v>
      </c>
    </row>
    <row r="1364" spans="2:13" x14ac:dyDescent="0.25">
      <c r="B1364" t="s">
        <v>2643</v>
      </c>
      <c r="C1364">
        <v>12273161</v>
      </c>
      <c r="D1364" t="str">
        <f>"6905722120613"</f>
        <v>6905722120613</v>
      </c>
      <c r="E1364" t="s">
        <v>2645</v>
      </c>
      <c r="F1364" t="s">
        <v>1797</v>
      </c>
      <c r="G1364">
        <v>1</v>
      </c>
      <c r="H1364" t="s">
        <v>18</v>
      </c>
      <c r="I1364" t="s">
        <v>16</v>
      </c>
      <c r="J1364" t="s">
        <v>360</v>
      </c>
      <c r="L1364" t="s">
        <v>18</v>
      </c>
      <c r="M1364" t="s">
        <v>2114</v>
      </c>
    </row>
    <row r="1365" spans="2:13" x14ac:dyDescent="0.25">
      <c r="B1365" t="s">
        <v>2643</v>
      </c>
      <c r="C1365">
        <v>12273188</v>
      </c>
      <c r="D1365" t="str">
        <f>"6905722299203"</f>
        <v>6905722299203</v>
      </c>
      <c r="E1365" t="s">
        <v>2646</v>
      </c>
      <c r="F1365" t="s">
        <v>2647</v>
      </c>
      <c r="G1365">
        <v>1</v>
      </c>
      <c r="H1365" t="s">
        <v>18</v>
      </c>
      <c r="I1365" t="s">
        <v>16</v>
      </c>
      <c r="J1365" t="s">
        <v>360</v>
      </c>
      <c r="L1365" t="s">
        <v>18</v>
      </c>
      <c r="M1365" t="s">
        <v>2114</v>
      </c>
    </row>
    <row r="1366" spans="2:13" x14ac:dyDescent="0.25">
      <c r="B1366" t="s">
        <v>2643</v>
      </c>
      <c r="C1366">
        <v>12273196</v>
      </c>
      <c r="D1366" t="str">
        <f>"6905722299180"</f>
        <v>6905722299180</v>
      </c>
      <c r="E1366" t="s">
        <v>2648</v>
      </c>
      <c r="F1366" t="s">
        <v>413</v>
      </c>
      <c r="G1366">
        <v>1</v>
      </c>
      <c r="H1366" t="s">
        <v>18</v>
      </c>
      <c r="I1366" t="s">
        <v>16</v>
      </c>
      <c r="J1366" t="s">
        <v>360</v>
      </c>
      <c r="L1366" t="s">
        <v>18</v>
      </c>
      <c r="M1366" t="s">
        <v>2114</v>
      </c>
    </row>
    <row r="1367" spans="2:13" x14ac:dyDescent="0.25">
      <c r="B1367" t="s">
        <v>2643</v>
      </c>
      <c r="C1367">
        <v>12396313</v>
      </c>
      <c r="D1367" t="str">
        <f>"6905722410066"</f>
        <v>6905722410066</v>
      </c>
      <c r="E1367" t="s">
        <v>2649</v>
      </c>
      <c r="F1367" t="s">
        <v>522</v>
      </c>
      <c r="G1367">
        <v>1</v>
      </c>
      <c r="H1367" t="s">
        <v>18</v>
      </c>
      <c r="I1367" t="s">
        <v>16</v>
      </c>
      <c r="J1367" t="s">
        <v>360</v>
      </c>
      <c r="L1367" t="s">
        <v>18</v>
      </c>
      <c r="M1367" t="s">
        <v>2650</v>
      </c>
    </row>
    <row r="1368" spans="2:13" x14ac:dyDescent="0.25">
      <c r="B1368" t="s">
        <v>2643</v>
      </c>
      <c r="C1368">
        <v>13625683</v>
      </c>
      <c r="D1368" t="str">
        <f>"4607133589929"</f>
        <v>4607133589929</v>
      </c>
      <c r="E1368" t="s">
        <v>2651</v>
      </c>
      <c r="F1368" t="s">
        <v>185</v>
      </c>
      <c r="G1368">
        <v>1</v>
      </c>
      <c r="H1368" t="s">
        <v>18</v>
      </c>
      <c r="I1368" t="s">
        <v>16</v>
      </c>
      <c r="J1368" t="s">
        <v>1571</v>
      </c>
      <c r="L1368" t="s">
        <v>18</v>
      </c>
      <c r="M1368" t="s">
        <v>2652</v>
      </c>
    </row>
    <row r="1369" spans="2:13" x14ac:dyDescent="0.25">
      <c r="B1369" t="s">
        <v>2643</v>
      </c>
      <c r="C1369">
        <v>14083097</v>
      </c>
      <c r="D1369" t="str">
        <f>"4650062700699"</f>
        <v>4650062700699</v>
      </c>
      <c r="E1369" t="s">
        <v>2653</v>
      </c>
      <c r="F1369" t="s">
        <v>649</v>
      </c>
      <c r="G1369">
        <v>1</v>
      </c>
      <c r="H1369" t="s">
        <v>18</v>
      </c>
      <c r="I1369" t="s">
        <v>16</v>
      </c>
      <c r="J1369" t="s">
        <v>1571</v>
      </c>
      <c r="L1369" t="s">
        <v>18</v>
      </c>
      <c r="M1369" t="s">
        <v>2349</v>
      </c>
    </row>
    <row r="1370" spans="2:13" x14ac:dyDescent="0.25">
      <c r="B1370" t="s">
        <v>2643</v>
      </c>
      <c r="C1370">
        <v>15475594</v>
      </c>
      <c r="D1370" t="str">
        <f>"8695024500128"</f>
        <v>8695024500128</v>
      </c>
      <c r="E1370" t="s">
        <v>2654</v>
      </c>
      <c r="F1370" t="s">
        <v>971</v>
      </c>
      <c r="G1370">
        <v>1</v>
      </c>
      <c r="H1370" t="s">
        <v>18</v>
      </c>
      <c r="I1370" t="s">
        <v>16</v>
      </c>
      <c r="J1370" t="s">
        <v>1544</v>
      </c>
      <c r="L1370" t="s">
        <v>18</v>
      </c>
      <c r="M1370" t="s">
        <v>2655</v>
      </c>
    </row>
    <row r="1371" spans="2:13" x14ac:dyDescent="0.25">
      <c r="B1371" t="s">
        <v>2643</v>
      </c>
      <c r="C1371">
        <v>15475623</v>
      </c>
      <c r="D1371" t="str">
        <f>"8695024500159"</f>
        <v>8695024500159</v>
      </c>
      <c r="E1371" t="s">
        <v>2656</v>
      </c>
      <c r="F1371" t="s">
        <v>788</v>
      </c>
      <c r="G1371">
        <v>1</v>
      </c>
      <c r="H1371" t="s">
        <v>18</v>
      </c>
      <c r="I1371" t="s">
        <v>16</v>
      </c>
      <c r="J1371" t="s">
        <v>1544</v>
      </c>
      <c r="L1371" t="s">
        <v>18</v>
      </c>
      <c r="M1371" t="s">
        <v>2655</v>
      </c>
    </row>
    <row r="1372" spans="2:13" x14ac:dyDescent="0.25">
      <c r="B1372" t="s">
        <v>2643</v>
      </c>
      <c r="C1372">
        <v>15475631</v>
      </c>
      <c r="D1372" t="str">
        <f>"8695024500173"</f>
        <v>8695024500173</v>
      </c>
      <c r="E1372" t="s">
        <v>2657</v>
      </c>
      <c r="F1372" t="s">
        <v>2125</v>
      </c>
      <c r="G1372">
        <v>1</v>
      </c>
      <c r="H1372" t="s">
        <v>18</v>
      </c>
      <c r="I1372" t="s">
        <v>16</v>
      </c>
      <c r="J1372" t="s">
        <v>1544</v>
      </c>
      <c r="L1372" t="s">
        <v>18</v>
      </c>
      <c r="M1372" t="s">
        <v>2655</v>
      </c>
    </row>
    <row r="1373" spans="2:13" x14ac:dyDescent="0.25">
      <c r="B1373" t="s">
        <v>2643</v>
      </c>
      <c r="C1373">
        <v>15475640</v>
      </c>
      <c r="D1373" t="str">
        <f>"8695024500180"</f>
        <v>8695024500180</v>
      </c>
      <c r="E1373" t="s">
        <v>2658</v>
      </c>
      <c r="F1373" t="s">
        <v>2659</v>
      </c>
      <c r="G1373">
        <v>1</v>
      </c>
      <c r="H1373" t="s">
        <v>18</v>
      </c>
      <c r="I1373" t="s">
        <v>16</v>
      </c>
      <c r="J1373" t="s">
        <v>1544</v>
      </c>
      <c r="L1373" t="s">
        <v>18</v>
      </c>
      <c r="M1373" t="s">
        <v>2655</v>
      </c>
    </row>
    <row r="1374" spans="2:13" x14ac:dyDescent="0.25">
      <c r="B1374" t="s">
        <v>2643</v>
      </c>
      <c r="C1374">
        <v>15478349</v>
      </c>
      <c r="D1374" t="str">
        <f>"4660015180058"</f>
        <v>4660015180058</v>
      </c>
      <c r="E1374" t="s">
        <v>2660</v>
      </c>
      <c r="F1374" t="s">
        <v>205</v>
      </c>
      <c r="G1374">
        <v>1</v>
      </c>
      <c r="H1374" t="s">
        <v>18</v>
      </c>
      <c r="I1374" t="s">
        <v>16</v>
      </c>
      <c r="J1374" t="s">
        <v>1556</v>
      </c>
      <c r="L1374" t="s">
        <v>18</v>
      </c>
      <c r="M1374" t="s">
        <v>2661</v>
      </c>
    </row>
    <row r="1375" spans="2:13" x14ac:dyDescent="0.25">
      <c r="B1375" t="s">
        <v>2643</v>
      </c>
      <c r="C1375">
        <v>15490532</v>
      </c>
      <c r="D1375" t="str">
        <f>"6931234572619"</f>
        <v>6931234572619</v>
      </c>
      <c r="E1375" t="s">
        <v>2662</v>
      </c>
      <c r="F1375" t="s">
        <v>114</v>
      </c>
      <c r="G1375">
        <v>1</v>
      </c>
      <c r="H1375" t="s">
        <v>18</v>
      </c>
      <c r="I1375" t="s">
        <v>16</v>
      </c>
      <c r="J1375" t="s">
        <v>239</v>
      </c>
      <c r="L1375" t="s">
        <v>18</v>
      </c>
      <c r="M1375" t="s">
        <v>1654</v>
      </c>
    </row>
    <row r="1376" spans="2:13" x14ac:dyDescent="0.25">
      <c r="B1376" t="s">
        <v>2643</v>
      </c>
      <c r="C1376">
        <v>15490559</v>
      </c>
      <c r="D1376" t="str">
        <f>"6931234572633"</f>
        <v>6931234572633</v>
      </c>
      <c r="E1376" t="s">
        <v>2663</v>
      </c>
      <c r="F1376" t="s">
        <v>522</v>
      </c>
      <c r="G1376">
        <v>1</v>
      </c>
      <c r="H1376" t="s">
        <v>18</v>
      </c>
      <c r="I1376" t="s">
        <v>16</v>
      </c>
      <c r="J1376" t="s">
        <v>239</v>
      </c>
      <c r="L1376" t="s">
        <v>18</v>
      </c>
      <c r="M1376" t="s">
        <v>2073</v>
      </c>
    </row>
    <row r="1377" spans="2:13" x14ac:dyDescent="0.25">
      <c r="B1377" t="s">
        <v>2643</v>
      </c>
      <c r="C1377">
        <v>15490567</v>
      </c>
      <c r="D1377" t="str">
        <f>"6931234572640"</f>
        <v>6931234572640</v>
      </c>
      <c r="E1377" t="s">
        <v>2664</v>
      </c>
      <c r="F1377" t="s">
        <v>491</v>
      </c>
      <c r="G1377">
        <v>1</v>
      </c>
      <c r="H1377" t="s">
        <v>18</v>
      </c>
      <c r="I1377" t="s">
        <v>16</v>
      </c>
      <c r="J1377" t="s">
        <v>239</v>
      </c>
      <c r="L1377" t="s">
        <v>18</v>
      </c>
      <c r="M1377" t="s">
        <v>2073</v>
      </c>
    </row>
    <row r="1378" spans="2:13" x14ac:dyDescent="0.25">
      <c r="B1378" t="s">
        <v>2643</v>
      </c>
      <c r="C1378">
        <v>15490575</v>
      </c>
      <c r="D1378" t="str">
        <f>"6931234572657"</f>
        <v>6931234572657</v>
      </c>
      <c r="E1378" t="s">
        <v>2665</v>
      </c>
      <c r="F1378" t="s">
        <v>114</v>
      </c>
      <c r="G1378">
        <v>1</v>
      </c>
      <c r="H1378" t="s">
        <v>18</v>
      </c>
      <c r="I1378" t="s">
        <v>16</v>
      </c>
      <c r="J1378" t="s">
        <v>239</v>
      </c>
      <c r="L1378" t="s">
        <v>18</v>
      </c>
      <c r="M1378" t="s">
        <v>2073</v>
      </c>
    </row>
    <row r="1379" spans="2:13" x14ac:dyDescent="0.25">
      <c r="B1379" t="s">
        <v>2643</v>
      </c>
      <c r="C1379">
        <v>15549531</v>
      </c>
      <c r="D1379" t="str">
        <f>"4607157117771"</f>
        <v>4607157117771</v>
      </c>
      <c r="E1379" t="s">
        <v>2666</v>
      </c>
      <c r="F1379" t="s">
        <v>227</v>
      </c>
      <c r="G1379">
        <v>1</v>
      </c>
      <c r="H1379" t="s">
        <v>18</v>
      </c>
      <c r="I1379" t="s">
        <v>16</v>
      </c>
      <c r="J1379" t="s">
        <v>1556</v>
      </c>
      <c r="L1379" t="s">
        <v>18</v>
      </c>
      <c r="M1379" t="s">
        <v>2667</v>
      </c>
    </row>
    <row r="1380" spans="2:13" x14ac:dyDescent="0.25">
      <c r="B1380" t="s">
        <v>2643</v>
      </c>
      <c r="C1380">
        <v>15734605</v>
      </c>
      <c r="D1380" t="str">
        <f>"6905722100110"</f>
        <v>6905722100110</v>
      </c>
      <c r="E1380" t="s">
        <v>2668</v>
      </c>
      <c r="F1380" t="s">
        <v>389</v>
      </c>
      <c r="G1380">
        <v>1</v>
      </c>
      <c r="H1380" t="s">
        <v>18</v>
      </c>
      <c r="I1380" t="s">
        <v>16</v>
      </c>
      <c r="J1380" t="s">
        <v>360</v>
      </c>
      <c r="L1380" t="s">
        <v>18</v>
      </c>
      <c r="M1380" t="s">
        <v>2068</v>
      </c>
    </row>
    <row r="1381" spans="2:13" x14ac:dyDescent="0.25">
      <c r="B1381" t="s">
        <v>2643</v>
      </c>
      <c r="C1381">
        <v>15734621</v>
      </c>
      <c r="D1381" t="str">
        <f>"6905722118207"</f>
        <v>6905722118207</v>
      </c>
      <c r="E1381" t="s">
        <v>2669</v>
      </c>
      <c r="F1381" t="s">
        <v>2647</v>
      </c>
      <c r="G1381">
        <v>1</v>
      </c>
      <c r="H1381" t="s">
        <v>18</v>
      </c>
      <c r="I1381" t="s">
        <v>16</v>
      </c>
      <c r="J1381" t="s">
        <v>360</v>
      </c>
      <c r="L1381" t="s">
        <v>18</v>
      </c>
      <c r="M1381" t="s">
        <v>2061</v>
      </c>
    </row>
    <row r="1382" spans="2:13" x14ac:dyDescent="0.25">
      <c r="B1382" t="s">
        <v>2643</v>
      </c>
      <c r="C1382">
        <v>17896499</v>
      </c>
      <c r="D1382" t="str">
        <f>"4650062703300"</f>
        <v>4650062703300</v>
      </c>
      <c r="E1382" t="s">
        <v>2670</v>
      </c>
      <c r="F1382" t="s">
        <v>1178</v>
      </c>
      <c r="G1382">
        <v>1</v>
      </c>
      <c r="H1382" t="s">
        <v>18</v>
      </c>
      <c r="I1382" t="s">
        <v>16</v>
      </c>
      <c r="J1382" t="s">
        <v>1571</v>
      </c>
      <c r="L1382" t="s">
        <v>18</v>
      </c>
      <c r="M1382" t="s">
        <v>2671</v>
      </c>
    </row>
    <row r="1383" spans="2:13" x14ac:dyDescent="0.25">
      <c r="B1383" t="s">
        <v>2643</v>
      </c>
      <c r="C1383">
        <v>17896501</v>
      </c>
      <c r="D1383" t="str">
        <f>"4650062703348"</f>
        <v>4650062703348</v>
      </c>
      <c r="E1383" t="s">
        <v>2672</v>
      </c>
      <c r="F1383" t="s">
        <v>525</v>
      </c>
      <c r="G1383">
        <v>1</v>
      </c>
      <c r="H1383" t="s">
        <v>18</v>
      </c>
      <c r="I1383" t="s">
        <v>16</v>
      </c>
      <c r="J1383" t="s">
        <v>1571</v>
      </c>
      <c r="L1383" t="s">
        <v>18</v>
      </c>
      <c r="M1383" t="s">
        <v>2671</v>
      </c>
    </row>
    <row r="1384" spans="2:13" x14ac:dyDescent="0.25">
      <c r="B1384" t="s">
        <v>2643</v>
      </c>
      <c r="C1384">
        <v>17896536</v>
      </c>
      <c r="D1384" t="str">
        <f>"4650062703287"</f>
        <v>4650062703287</v>
      </c>
      <c r="E1384" t="s">
        <v>2673</v>
      </c>
      <c r="F1384" t="s">
        <v>188</v>
      </c>
      <c r="G1384">
        <v>1</v>
      </c>
      <c r="H1384" t="s">
        <v>18</v>
      </c>
      <c r="I1384" t="s">
        <v>16</v>
      </c>
      <c r="J1384" t="s">
        <v>1571</v>
      </c>
      <c r="L1384" t="s">
        <v>18</v>
      </c>
      <c r="M1384" t="s">
        <v>2674</v>
      </c>
    </row>
    <row r="1385" spans="2:13" x14ac:dyDescent="0.25">
      <c r="B1385" t="s">
        <v>2643</v>
      </c>
      <c r="C1385">
        <v>18425242</v>
      </c>
      <c r="D1385" t="str">
        <f>"3276000215820"</f>
        <v>3276000215820</v>
      </c>
      <c r="E1385" t="s">
        <v>2675</v>
      </c>
      <c r="F1385" t="s">
        <v>194</v>
      </c>
      <c r="G1385">
        <v>1</v>
      </c>
      <c r="H1385" t="s">
        <v>18</v>
      </c>
      <c r="I1385" t="s">
        <v>16</v>
      </c>
      <c r="J1385" t="s">
        <v>28</v>
      </c>
      <c r="L1385" t="s">
        <v>18</v>
      </c>
      <c r="M1385" t="s">
        <v>2676</v>
      </c>
    </row>
    <row r="1386" spans="2:13" x14ac:dyDescent="0.25">
      <c r="B1386" t="s">
        <v>2643</v>
      </c>
      <c r="C1386">
        <v>18540056</v>
      </c>
      <c r="D1386" t="str">
        <f>"3276000215967"</f>
        <v>3276000215967</v>
      </c>
      <c r="E1386" t="s">
        <v>2677</v>
      </c>
      <c r="F1386" t="s">
        <v>194</v>
      </c>
      <c r="G1386">
        <v>1</v>
      </c>
      <c r="H1386" t="s">
        <v>18</v>
      </c>
      <c r="I1386" t="s">
        <v>16</v>
      </c>
      <c r="J1386" t="s">
        <v>17</v>
      </c>
      <c r="L1386" t="s">
        <v>18</v>
      </c>
      <c r="M1386" t="s">
        <v>2678</v>
      </c>
    </row>
    <row r="1387" spans="2:13" x14ac:dyDescent="0.25">
      <c r="B1387" t="s">
        <v>2679</v>
      </c>
      <c r="C1387">
        <v>11493779</v>
      </c>
      <c r="D1387" t="str">
        <f>"4607133580223"</f>
        <v>4607133580223</v>
      </c>
      <c r="E1387" t="s">
        <v>2680</v>
      </c>
      <c r="F1387" t="s">
        <v>1561</v>
      </c>
      <c r="G1387">
        <v>1</v>
      </c>
      <c r="H1387" t="s">
        <v>18</v>
      </c>
      <c r="I1387" t="s">
        <v>16</v>
      </c>
      <c r="J1387" t="s">
        <v>1571</v>
      </c>
      <c r="L1387" t="s">
        <v>18</v>
      </c>
      <c r="M1387" t="s">
        <v>2681</v>
      </c>
    </row>
    <row r="1388" spans="2:13" x14ac:dyDescent="0.25">
      <c r="B1388" t="s">
        <v>2679</v>
      </c>
      <c r="C1388">
        <v>11837332</v>
      </c>
      <c r="D1388" t="str">
        <f>"4607133581404"</f>
        <v>4607133581404</v>
      </c>
      <c r="E1388" t="s">
        <v>2682</v>
      </c>
      <c r="F1388" t="s">
        <v>406</v>
      </c>
      <c r="G1388">
        <v>1</v>
      </c>
      <c r="H1388" t="s">
        <v>18</v>
      </c>
      <c r="I1388" t="s">
        <v>16</v>
      </c>
      <c r="J1388" t="s">
        <v>1571</v>
      </c>
      <c r="L1388" t="s">
        <v>18</v>
      </c>
      <c r="M1388" t="s">
        <v>2681</v>
      </c>
    </row>
    <row r="1389" spans="2:13" x14ac:dyDescent="0.25">
      <c r="B1389" t="s">
        <v>2679</v>
      </c>
      <c r="C1389">
        <v>12273524</v>
      </c>
      <c r="D1389" t="str">
        <f>"4607157110161"</f>
        <v>4607157110161</v>
      </c>
      <c r="E1389" t="s">
        <v>2683</v>
      </c>
      <c r="F1389" t="s">
        <v>2125</v>
      </c>
      <c r="G1389">
        <v>1</v>
      </c>
      <c r="H1389" t="s">
        <v>18</v>
      </c>
      <c r="I1389" t="s">
        <v>16</v>
      </c>
      <c r="J1389" t="s">
        <v>1556</v>
      </c>
      <c r="L1389" t="s">
        <v>18</v>
      </c>
      <c r="M1389" t="s">
        <v>1667</v>
      </c>
    </row>
    <row r="1390" spans="2:13" x14ac:dyDescent="0.25">
      <c r="B1390" t="s">
        <v>2679</v>
      </c>
      <c r="C1390">
        <v>12930897</v>
      </c>
      <c r="D1390" t="str">
        <f>"4607157110093"</f>
        <v>4607157110093</v>
      </c>
      <c r="E1390" t="s">
        <v>2684</v>
      </c>
      <c r="F1390" t="s">
        <v>34</v>
      </c>
      <c r="G1390">
        <v>0</v>
      </c>
      <c r="H1390" t="s">
        <v>18</v>
      </c>
      <c r="I1390" t="s">
        <v>754</v>
      </c>
      <c r="J1390" t="s">
        <v>1556</v>
      </c>
      <c r="K1390" s="1">
        <v>42824</v>
      </c>
      <c r="L1390" t="s">
        <v>18</v>
      </c>
      <c r="M1390" t="s">
        <v>2685</v>
      </c>
    </row>
    <row r="1391" spans="2:13" x14ac:dyDescent="0.25">
      <c r="B1391" t="s">
        <v>2679</v>
      </c>
      <c r="C1391">
        <v>12931099</v>
      </c>
      <c r="D1391" t="str">
        <f>"4607157110505"</f>
        <v>4607157110505</v>
      </c>
      <c r="E1391" t="s">
        <v>2686</v>
      </c>
      <c r="F1391" t="s">
        <v>48</v>
      </c>
      <c r="G1391">
        <v>0</v>
      </c>
      <c r="H1391" t="s">
        <v>18</v>
      </c>
      <c r="I1391" t="s">
        <v>754</v>
      </c>
      <c r="J1391" t="s">
        <v>1556</v>
      </c>
      <c r="K1391" s="1">
        <v>42824</v>
      </c>
      <c r="L1391" t="s">
        <v>18</v>
      </c>
      <c r="M1391" t="s">
        <v>2687</v>
      </c>
    </row>
    <row r="1392" spans="2:13" x14ac:dyDescent="0.25">
      <c r="B1392" t="s">
        <v>2679</v>
      </c>
      <c r="C1392">
        <v>13083247</v>
      </c>
      <c r="D1392" t="str">
        <f>"4607157111465"</f>
        <v>4607157111465</v>
      </c>
      <c r="E1392" t="s">
        <v>2688</v>
      </c>
      <c r="F1392" t="s">
        <v>1016</v>
      </c>
      <c r="G1392">
        <v>1</v>
      </c>
      <c r="H1392" t="s">
        <v>18</v>
      </c>
      <c r="I1392" t="s">
        <v>16</v>
      </c>
      <c r="J1392" t="s">
        <v>1556</v>
      </c>
      <c r="L1392" t="s">
        <v>18</v>
      </c>
      <c r="M1392" t="s">
        <v>2689</v>
      </c>
    </row>
    <row r="1393" spans="2:13" x14ac:dyDescent="0.25">
      <c r="B1393" t="s">
        <v>2679</v>
      </c>
      <c r="C1393">
        <v>14564333</v>
      </c>
      <c r="D1393" t="str">
        <f>"4742943014664"</f>
        <v>4742943014664</v>
      </c>
      <c r="E1393" t="s">
        <v>2690</v>
      </c>
      <c r="F1393" t="s">
        <v>322</v>
      </c>
      <c r="G1393">
        <v>1</v>
      </c>
      <c r="H1393" t="s">
        <v>18</v>
      </c>
      <c r="I1393" t="s">
        <v>16</v>
      </c>
      <c r="J1393" t="s">
        <v>1976</v>
      </c>
      <c r="L1393" t="s">
        <v>18</v>
      </c>
      <c r="M1393" t="s">
        <v>2535</v>
      </c>
    </row>
    <row r="1394" spans="2:13" x14ac:dyDescent="0.25">
      <c r="B1394" t="s">
        <v>2679</v>
      </c>
      <c r="C1394">
        <v>15365301</v>
      </c>
      <c r="D1394" t="str">
        <f>"4607816930062"</f>
        <v>4607816930062</v>
      </c>
      <c r="E1394" t="s">
        <v>2691</v>
      </c>
      <c r="F1394" t="s">
        <v>609</v>
      </c>
      <c r="G1394">
        <v>1</v>
      </c>
      <c r="H1394" t="s">
        <v>18</v>
      </c>
      <c r="I1394" t="s">
        <v>16</v>
      </c>
      <c r="J1394" t="s">
        <v>2522</v>
      </c>
      <c r="L1394" t="s">
        <v>18</v>
      </c>
      <c r="M1394" t="s">
        <v>2307</v>
      </c>
    </row>
    <row r="1395" spans="2:13" x14ac:dyDescent="0.25">
      <c r="B1395" t="s">
        <v>2679</v>
      </c>
      <c r="C1395">
        <v>15488310</v>
      </c>
      <c r="D1395" t="str">
        <f>"6931234572596"</f>
        <v>6931234572596</v>
      </c>
      <c r="E1395" t="s">
        <v>2692</v>
      </c>
      <c r="F1395" t="s">
        <v>2647</v>
      </c>
      <c r="G1395">
        <v>1</v>
      </c>
      <c r="H1395" t="s">
        <v>18</v>
      </c>
      <c r="I1395" t="s">
        <v>16</v>
      </c>
      <c r="J1395" t="s">
        <v>239</v>
      </c>
      <c r="L1395" t="s">
        <v>18</v>
      </c>
      <c r="M1395" t="s">
        <v>2073</v>
      </c>
    </row>
    <row r="1396" spans="2:13" x14ac:dyDescent="0.25">
      <c r="B1396" t="s">
        <v>2679</v>
      </c>
      <c r="C1396">
        <v>15488328</v>
      </c>
      <c r="D1396" t="str">
        <f>"6931234572541"</f>
        <v>6931234572541</v>
      </c>
      <c r="E1396" t="s">
        <v>2693</v>
      </c>
      <c r="F1396" t="s">
        <v>406</v>
      </c>
      <c r="G1396">
        <v>1</v>
      </c>
      <c r="H1396" t="s">
        <v>18</v>
      </c>
      <c r="I1396" t="s">
        <v>16</v>
      </c>
      <c r="J1396" t="s">
        <v>239</v>
      </c>
      <c r="L1396" t="s">
        <v>18</v>
      </c>
      <c r="M1396" t="s">
        <v>2073</v>
      </c>
    </row>
    <row r="1397" spans="2:13" x14ac:dyDescent="0.25">
      <c r="B1397" t="s">
        <v>2679</v>
      </c>
      <c r="C1397">
        <v>15488344</v>
      </c>
      <c r="D1397" t="str">
        <f>"6931234572558"</f>
        <v>6931234572558</v>
      </c>
      <c r="E1397" t="s">
        <v>2694</v>
      </c>
      <c r="F1397" t="s">
        <v>823</v>
      </c>
      <c r="G1397">
        <v>1</v>
      </c>
      <c r="H1397" t="s">
        <v>18</v>
      </c>
      <c r="I1397" t="s">
        <v>16</v>
      </c>
      <c r="J1397" t="s">
        <v>239</v>
      </c>
      <c r="L1397" t="s">
        <v>18</v>
      </c>
      <c r="M1397" t="s">
        <v>2073</v>
      </c>
    </row>
    <row r="1398" spans="2:13" x14ac:dyDescent="0.25">
      <c r="B1398" t="s">
        <v>2679</v>
      </c>
      <c r="C1398">
        <v>15488352</v>
      </c>
      <c r="D1398" t="str">
        <f>"6931234572565"</f>
        <v>6931234572565</v>
      </c>
      <c r="E1398" t="s">
        <v>2695</v>
      </c>
      <c r="F1398" t="s">
        <v>240</v>
      </c>
      <c r="G1398">
        <v>1</v>
      </c>
      <c r="H1398" t="s">
        <v>18</v>
      </c>
      <c r="I1398" t="s">
        <v>16</v>
      </c>
      <c r="J1398" t="s">
        <v>239</v>
      </c>
      <c r="L1398" t="s">
        <v>18</v>
      </c>
      <c r="M1398" t="s">
        <v>2073</v>
      </c>
    </row>
    <row r="1399" spans="2:13" x14ac:dyDescent="0.25">
      <c r="B1399" t="s">
        <v>2679</v>
      </c>
      <c r="C1399">
        <v>15488361</v>
      </c>
      <c r="D1399" t="str">
        <f>"6931234572589"</f>
        <v>6931234572589</v>
      </c>
      <c r="E1399" t="s">
        <v>2696</v>
      </c>
      <c r="F1399" t="s">
        <v>491</v>
      </c>
      <c r="G1399">
        <v>1</v>
      </c>
      <c r="H1399" t="s">
        <v>18</v>
      </c>
      <c r="I1399" t="s">
        <v>16</v>
      </c>
      <c r="J1399" t="s">
        <v>239</v>
      </c>
      <c r="L1399" t="s">
        <v>18</v>
      </c>
      <c r="M1399" t="s">
        <v>2073</v>
      </c>
    </row>
    <row r="1400" spans="2:13" x14ac:dyDescent="0.25">
      <c r="B1400" t="s">
        <v>2679</v>
      </c>
      <c r="C1400">
        <v>15557733</v>
      </c>
      <c r="D1400" t="str">
        <f>"4742943014862"</f>
        <v>4742943014862</v>
      </c>
      <c r="E1400" t="s">
        <v>2697</v>
      </c>
      <c r="F1400" t="s">
        <v>240</v>
      </c>
      <c r="G1400">
        <v>1</v>
      </c>
      <c r="H1400" t="s">
        <v>18</v>
      </c>
      <c r="I1400" t="s">
        <v>16</v>
      </c>
      <c r="J1400" t="s">
        <v>1976</v>
      </c>
      <c r="L1400" t="s">
        <v>18</v>
      </c>
      <c r="M1400" t="s">
        <v>2535</v>
      </c>
    </row>
    <row r="1401" spans="2:13" x14ac:dyDescent="0.25">
      <c r="B1401" t="s">
        <v>2679</v>
      </c>
      <c r="C1401">
        <v>16946298</v>
      </c>
      <c r="D1401" t="str">
        <f>"4630004985001"</f>
        <v>4630004985001</v>
      </c>
      <c r="E1401" t="s">
        <v>2698</v>
      </c>
      <c r="F1401" t="s">
        <v>889</v>
      </c>
      <c r="G1401">
        <v>1</v>
      </c>
      <c r="H1401" t="s">
        <v>18</v>
      </c>
      <c r="I1401" t="s">
        <v>16</v>
      </c>
      <c r="J1401" t="s">
        <v>2623</v>
      </c>
      <c r="L1401" t="s">
        <v>18</v>
      </c>
      <c r="M1401" t="s">
        <v>635</v>
      </c>
    </row>
    <row r="1402" spans="2:13" x14ac:dyDescent="0.25">
      <c r="B1402" t="s">
        <v>2679</v>
      </c>
      <c r="C1402">
        <v>16946319</v>
      </c>
      <c r="D1402" t="str">
        <f>"4660015392277"</f>
        <v>4660015392277</v>
      </c>
      <c r="E1402" t="s">
        <v>2699</v>
      </c>
      <c r="F1402" t="s">
        <v>609</v>
      </c>
      <c r="G1402">
        <v>1</v>
      </c>
      <c r="H1402" t="s">
        <v>18</v>
      </c>
      <c r="I1402" t="s">
        <v>16</v>
      </c>
      <c r="J1402" t="s">
        <v>2623</v>
      </c>
      <c r="L1402" t="s">
        <v>18</v>
      </c>
      <c r="M1402" t="s">
        <v>635</v>
      </c>
    </row>
    <row r="1403" spans="2:13" x14ac:dyDescent="0.25">
      <c r="B1403" t="s">
        <v>2679</v>
      </c>
      <c r="C1403">
        <v>16946327</v>
      </c>
      <c r="D1403" t="str">
        <f>"4660015392246"</f>
        <v>4660015392246</v>
      </c>
      <c r="E1403" t="s">
        <v>2700</v>
      </c>
      <c r="F1403" t="s">
        <v>240</v>
      </c>
      <c r="G1403">
        <v>1</v>
      </c>
      <c r="H1403" t="s">
        <v>18</v>
      </c>
      <c r="I1403" t="s">
        <v>16</v>
      </c>
      <c r="J1403" t="s">
        <v>2623</v>
      </c>
      <c r="L1403" t="s">
        <v>18</v>
      </c>
      <c r="M1403" t="s">
        <v>635</v>
      </c>
    </row>
    <row r="1404" spans="2:13" x14ac:dyDescent="0.25">
      <c r="B1404" t="s">
        <v>2679</v>
      </c>
      <c r="C1404">
        <v>16946335</v>
      </c>
      <c r="D1404" t="str">
        <f>"4660015392239"</f>
        <v>4660015392239</v>
      </c>
      <c r="E1404" t="s">
        <v>2701</v>
      </c>
      <c r="F1404" t="s">
        <v>212</v>
      </c>
      <c r="G1404">
        <v>1</v>
      </c>
      <c r="H1404" t="s">
        <v>18</v>
      </c>
      <c r="I1404" t="s">
        <v>16</v>
      </c>
      <c r="J1404" t="s">
        <v>2623</v>
      </c>
      <c r="L1404" t="s">
        <v>18</v>
      </c>
      <c r="M1404" t="s">
        <v>635</v>
      </c>
    </row>
    <row r="1405" spans="2:13" x14ac:dyDescent="0.25">
      <c r="B1405" t="s">
        <v>2679</v>
      </c>
      <c r="C1405">
        <v>16946343</v>
      </c>
      <c r="D1405" t="str">
        <f>"4660015392369"</f>
        <v>4660015392369</v>
      </c>
      <c r="E1405" t="s">
        <v>2702</v>
      </c>
      <c r="F1405" t="s">
        <v>410</v>
      </c>
      <c r="G1405">
        <v>1</v>
      </c>
      <c r="H1405" t="s">
        <v>18</v>
      </c>
      <c r="I1405" t="s">
        <v>16</v>
      </c>
      <c r="J1405" t="s">
        <v>2623</v>
      </c>
      <c r="L1405" t="s">
        <v>18</v>
      </c>
      <c r="M1405" t="s">
        <v>635</v>
      </c>
    </row>
    <row r="1406" spans="2:13" x14ac:dyDescent="0.25">
      <c r="B1406" t="s">
        <v>2679</v>
      </c>
      <c r="C1406">
        <v>17803483</v>
      </c>
      <c r="D1406" t="str">
        <f>"4660015395599"</f>
        <v>4660015395599</v>
      </c>
      <c r="E1406" t="s">
        <v>2703</v>
      </c>
      <c r="F1406" t="s">
        <v>2471</v>
      </c>
      <c r="G1406">
        <v>1</v>
      </c>
      <c r="H1406" t="s">
        <v>18</v>
      </c>
      <c r="I1406" t="s">
        <v>16</v>
      </c>
      <c r="J1406" t="s">
        <v>2623</v>
      </c>
      <c r="L1406" t="s">
        <v>18</v>
      </c>
      <c r="M1406" t="s">
        <v>361</v>
      </c>
    </row>
    <row r="1407" spans="2:13" x14ac:dyDescent="0.25">
      <c r="B1407" t="s">
        <v>2679</v>
      </c>
      <c r="C1407">
        <v>17803491</v>
      </c>
      <c r="D1407" t="str">
        <f>"4660015395612"</f>
        <v>4660015395612</v>
      </c>
      <c r="E1407" t="s">
        <v>2704</v>
      </c>
      <c r="F1407" t="s">
        <v>1561</v>
      </c>
      <c r="G1407">
        <v>1</v>
      </c>
      <c r="H1407" t="s">
        <v>18</v>
      </c>
      <c r="I1407" t="s">
        <v>16</v>
      </c>
      <c r="J1407" t="s">
        <v>2623</v>
      </c>
      <c r="L1407" t="s">
        <v>18</v>
      </c>
      <c r="M1407" t="s">
        <v>361</v>
      </c>
    </row>
    <row r="1408" spans="2:13" x14ac:dyDescent="0.25">
      <c r="B1408" t="s">
        <v>2679</v>
      </c>
      <c r="C1408">
        <v>17803504</v>
      </c>
      <c r="D1408" t="str">
        <f>"4660015395629"</f>
        <v>4660015395629</v>
      </c>
      <c r="E1408" t="s">
        <v>2705</v>
      </c>
      <c r="F1408" t="s">
        <v>1998</v>
      </c>
      <c r="G1408">
        <v>1</v>
      </c>
      <c r="H1408" t="s">
        <v>18</v>
      </c>
      <c r="I1408" t="s">
        <v>16</v>
      </c>
      <c r="J1408" t="s">
        <v>2623</v>
      </c>
      <c r="L1408" t="s">
        <v>18</v>
      </c>
      <c r="M1408" t="s">
        <v>361</v>
      </c>
    </row>
    <row r="1409" spans="2:13" x14ac:dyDescent="0.25">
      <c r="B1409" t="s">
        <v>2679</v>
      </c>
      <c r="C1409">
        <v>17803512</v>
      </c>
      <c r="D1409" t="str">
        <f>"4660015395667"</f>
        <v>4660015395667</v>
      </c>
      <c r="E1409" t="s">
        <v>2706</v>
      </c>
      <c r="F1409" t="s">
        <v>1524</v>
      </c>
      <c r="G1409">
        <v>1</v>
      </c>
      <c r="H1409" t="s">
        <v>18</v>
      </c>
      <c r="I1409" t="s">
        <v>16</v>
      </c>
      <c r="J1409" t="s">
        <v>2623</v>
      </c>
      <c r="L1409" t="s">
        <v>18</v>
      </c>
      <c r="M1409" t="s">
        <v>361</v>
      </c>
    </row>
    <row r="1410" spans="2:13" x14ac:dyDescent="0.25">
      <c r="B1410" t="s">
        <v>2679</v>
      </c>
      <c r="C1410">
        <v>17895525</v>
      </c>
      <c r="D1410" t="str">
        <f>"4627091396452"</f>
        <v>4627091396452</v>
      </c>
      <c r="E1410" t="s">
        <v>2707</v>
      </c>
      <c r="F1410" t="s">
        <v>60</v>
      </c>
      <c r="G1410">
        <v>1</v>
      </c>
      <c r="H1410" t="s">
        <v>18</v>
      </c>
      <c r="I1410" t="s">
        <v>16</v>
      </c>
      <c r="J1410" t="s">
        <v>854</v>
      </c>
      <c r="L1410" t="s">
        <v>18</v>
      </c>
      <c r="M1410" t="s">
        <v>2404</v>
      </c>
    </row>
    <row r="1411" spans="2:13" x14ac:dyDescent="0.25">
      <c r="B1411" t="s">
        <v>2679</v>
      </c>
      <c r="C1411">
        <v>17895533</v>
      </c>
      <c r="D1411" t="str">
        <f>"4627091396469"</f>
        <v>4627091396469</v>
      </c>
      <c r="E1411" t="s">
        <v>2708</v>
      </c>
      <c r="F1411" t="s">
        <v>525</v>
      </c>
      <c r="G1411">
        <v>1</v>
      </c>
      <c r="H1411" t="s">
        <v>18</v>
      </c>
      <c r="I1411" t="s">
        <v>16</v>
      </c>
      <c r="J1411" t="s">
        <v>854</v>
      </c>
      <c r="L1411" t="s">
        <v>18</v>
      </c>
      <c r="M1411" t="s">
        <v>2404</v>
      </c>
    </row>
    <row r="1412" spans="2:13" x14ac:dyDescent="0.25">
      <c r="B1412" t="s">
        <v>2679</v>
      </c>
      <c r="C1412">
        <v>17895541</v>
      </c>
      <c r="D1412" t="str">
        <f>"4627091396476"</f>
        <v>4627091396476</v>
      </c>
      <c r="E1412" t="s">
        <v>2709</v>
      </c>
      <c r="F1412" t="s">
        <v>366</v>
      </c>
      <c r="G1412">
        <v>1</v>
      </c>
      <c r="H1412" t="s">
        <v>18</v>
      </c>
      <c r="I1412" t="s">
        <v>16</v>
      </c>
      <c r="J1412" t="s">
        <v>854</v>
      </c>
      <c r="L1412" t="s">
        <v>18</v>
      </c>
      <c r="M1412" t="s">
        <v>2404</v>
      </c>
    </row>
    <row r="1413" spans="2:13" x14ac:dyDescent="0.25">
      <c r="B1413" t="s">
        <v>2679</v>
      </c>
      <c r="C1413">
        <v>17896510</v>
      </c>
      <c r="D1413" t="str">
        <f>"4650062703256"</f>
        <v>4650062703256</v>
      </c>
      <c r="E1413" t="s">
        <v>2710</v>
      </c>
      <c r="F1413" t="s">
        <v>649</v>
      </c>
      <c r="G1413">
        <v>1</v>
      </c>
      <c r="H1413" t="s">
        <v>18</v>
      </c>
      <c r="I1413" t="s">
        <v>16</v>
      </c>
      <c r="J1413" t="s">
        <v>1571</v>
      </c>
      <c r="L1413" t="s">
        <v>18</v>
      </c>
      <c r="M1413" t="s">
        <v>2711</v>
      </c>
    </row>
    <row r="1414" spans="2:13" x14ac:dyDescent="0.25">
      <c r="B1414" t="s">
        <v>2679</v>
      </c>
      <c r="C1414">
        <v>17896528</v>
      </c>
      <c r="D1414" t="str">
        <f>"4650062703249"</f>
        <v>4650062703249</v>
      </c>
      <c r="E1414" t="s">
        <v>2712</v>
      </c>
      <c r="F1414" t="s">
        <v>410</v>
      </c>
      <c r="G1414">
        <v>1</v>
      </c>
      <c r="H1414" t="s">
        <v>18</v>
      </c>
      <c r="I1414" t="s">
        <v>16</v>
      </c>
      <c r="J1414" t="s">
        <v>1571</v>
      </c>
      <c r="L1414" t="s">
        <v>18</v>
      </c>
      <c r="M1414" t="s">
        <v>2711</v>
      </c>
    </row>
    <row r="1415" spans="2:13" x14ac:dyDescent="0.25">
      <c r="B1415" t="s">
        <v>2679</v>
      </c>
      <c r="C1415">
        <v>17942491</v>
      </c>
      <c r="D1415" t="str">
        <f>"4680018980226"</f>
        <v>4680018980226</v>
      </c>
      <c r="E1415" t="s">
        <v>2713</v>
      </c>
      <c r="F1415" t="s">
        <v>328</v>
      </c>
      <c r="G1415">
        <v>1</v>
      </c>
      <c r="H1415" t="s">
        <v>18</v>
      </c>
      <c r="I1415" t="s">
        <v>16</v>
      </c>
      <c r="J1415" t="s">
        <v>2714</v>
      </c>
      <c r="L1415" t="s">
        <v>18</v>
      </c>
      <c r="M1415" t="s">
        <v>2038</v>
      </c>
    </row>
    <row r="1416" spans="2:13" x14ac:dyDescent="0.25">
      <c r="B1416" t="s">
        <v>2679</v>
      </c>
      <c r="C1416">
        <v>17942504</v>
      </c>
      <c r="D1416" t="str">
        <f>"4680018980240"</f>
        <v>4680018980240</v>
      </c>
      <c r="E1416" t="s">
        <v>2715</v>
      </c>
      <c r="F1416" t="s">
        <v>847</v>
      </c>
      <c r="G1416">
        <v>1</v>
      </c>
      <c r="H1416" t="s">
        <v>18</v>
      </c>
      <c r="I1416" t="s">
        <v>16</v>
      </c>
      <c r="J1416" t="s">
        <v>2714</v>
      </c>
      <c r="L1416" t="s">
        <v>18</v>
      </c>
      <c r="M1416" t="s">
        <v>2716</v>
      </c>
    </row>
    <row r="1417" spans="2:13" x14ac:dyDescent="0.25">
      <c r="B1417" t="s">
        <v>2679</v>
      </c>
      <c r="C1417">
        <v>17942512</v>
      </c>
      <c r="D1417" t="str">
        <f>"4680018980264"</f>
        <v>4680018980264</v>
      </c>
      <c r="E1417" t="s">
        <v>2717</v>
      </c>
      <c r="F1417" t="s">
        <v>522</v>
      </c>
      <c r="G1417">
        <v>1</v>
      </c>
      <c r="H1417" t="s">
        <v>18</v>
      </c>
      <c r="I1417" t="s">
        <v>16</v>
      </c>
      <c r="J1417" t="s">
        <v>2714</v>
      </c>
      <c r="L1417" t="s">
        <v>18</v>
      </c>
      <c r="M1417" t="s">
        <v>2038</v>
      </c>
    </row>
    <row r="1418" spans="2:13" x14ac:dyDescent="0.25">
      <c r="B1418" t="s">
        <v>2679</v>
      </c>
      <c r="C1418">
        <v>17942521</v>
      </c>
      <c r="D1418" t="str">
        <f>"4680018980288"</f>
        <v>4680018980288</v>
      </c>
      <c r="E1418" t="s">
        <v>2718</v>
      </c>
      <c r="F1418" t="s">
        <v>60</v>
      </c>
      <c r="G1418">
        <v>1</v>
      </c>
      <c r="H1418" t="s">
        <v>18</v>
      </c>
      <c r="I1418" t="s">
        <v>16</v>
      </c>
      <c r="J1418" t="s">
        <v>2714</v>
      </c>
      <c r="L1418" t="s">
        <v>18</v>
      </c>
      <c r="M1418" t="s">
        <v>773</v>
      </c>
    </row>
    <row r="1419" spans="2:13" x14ac:dyDescent="0.25">
      <c r="B1419" t="s">
        <v>2679</v>
      </c>
      <c r="C1419">
        <v>17942539</v>
      </c>
      <c r="D1419" t="str">
        <f>"4680018980141"</f>
        <v>4680018980141</v>
      </c>
      <c r="E1419" t="s">
        <v>2719</v>
      </c>
      <c r="F1419" t="s">
        <v>174</v>
      </c>
      <c r="G1419">
        <v>1</v>
      </c>
      <c r="H1419" t="s">
        <v>18</v>
      </c>
      <c r="I1419" t="s">
        <v>16</v>
      </c>
      <c r="J1419" t="s">
        <v>2714</v>
      </c>
      <c r="L1419" t="s">
        <v>18</v>
      </c>
      <c r="M1419" t="s">
        <v>2711</v>
      </c>
    </row>
    <row r="1420" spans="2:13" x14ac:dyDescent="0.25">
      <c r="B1420" t="s">
        <v>2679</v>
      </c>
      <c r="C1420">
        <v>17942547</v>
      </c>
      <c r="D1420" t="str">
        <f>"4680018980158"</f>
        <v>4680018980158</v>
      </c>
      <c r="E1420" t="s">
        <v>2720</v>
      </c>
      <c r="F1420" t="s">
        <v>442</v>
      </c>
      <c r="G1420">
        <v>1</v>
      </c>
      <c r="H1420" t="s">
        <v>18</v>
      </c>
      <c r="I1420" t="s">
        <v>16</v>
      </c>
      <c r="J1420" t="s">
        <v>2714</v>
      </c>
      <c r="L1420" t="s">
        <v>18</v>
      </c>
      <c r="M1420" t="s">
        <v>2711</v>
      </c>
    </row>
    <row r="1421" spans="2:13" x14ac:dyDescent="0.25">
      <c r="B1421" t="s">
        <v>2679</v>
      </c>
      <c r="C1421">
        <v>17942555</v>
      </c>
      <c r="D1421" t="str">
        <f>"4680018980165"</f>
        <v>4680018980165</v>
      </c>
      <c r="E1421" t="s">
        <v>2721</v>
      </c>
      <c r="F1421" t="s">
        <v>252</v>
      </c>
      <c r="G1421">
        <v>1</v>
      </c>
      <c r="H1421" t="s">
        <v>18</v>
      </c>
      <c r="I1421" t="s">
        <v>16</v>
      </c>
      <c r="J1421" t="s">
        <v>2714</v>
      </c>
      <c r="L1421" t="s">
        <v>18</v>
      </c>
      <c r="M1421" t="s">
        <v>2392</v>
      </c>
    </row>
    <row r="1422" spans="2:13" x14ac:dyDescent="0.25">
      <c r="B1422" t="s">
        <v>2679</v>
      </c>
      <c r="C1422">
        <v>17942563</v>
      </c>
      <c r="D1422" t="str">
        <f>"4680018980189"</f>
        <v>4680018980189</v>
      </c>
      <c r="E1422" t="s">
        <v>2722</v>
      </c>
      <c r="F1422" t="s">
        <v>277</v>
      </c>
      <c r="G1422">
        <v>1</v>
      </c>
      <c r="H1422" t="s">
        <v>18</v>
      </c>
      <c r="I1422" t="s">
        <v>16</v>
      </c>
      <c r="J1422" t="s">
        <v>2714</v>
      </c>
      <c r="L1422" t="s">
        <v>18</v>
      </c>
      <c r="M1422" t="s">
        <v>2392</v>
      </c>
    </row>
    <row r="1423" spans="2:13" x14ac:dyDescent="0.25">
      <c r="B1423" t="s">
        <v>2679</v>
      </c>
      <c r="C1423">
        <v>18495953</v>
      </c>
      <c r="D1423" t="str">
        <f>"4660015183738"</f>
        <v>4660015183738</v>
      </c>
      <c r="E1423" t="s">
        <v>2723</v>
      </c>
      <c r="F1423" t="s">
        <v>1016</v>
      </c>
      <c r="G1423">
        <v>1</v>
      </c>
      <c r="H1423" t="s">
        <v>18</v>
      </c>
      <c r="I1423" t="s">
        <v>16</v>
      </c>
      <c r="J1423" t="s">
        <v>1556</v>
      </c>
      <c r="L1423" t="s">
        <v>18</v>
      </c>
      <c r="M1423" t="s">
        <v>2689</v>
      </c>
    </row>
    <row r="1424" spans="2:13" x14ac:dyDescent="0.25">
      <c r="B1424" t="s">
        <v>2679</v>
      </c>
      <c r="C1424">
        <v>18495961</v>
      </c>
      <c r="D1424" t="str">
        <f>"4660015183646"</f>
        <v>4660015183646</v>
      </c>
      <c r="E1424" t="s">
        <v>2724</v>
      </c>
      <c r="F1424" t="s">
        <v>1934</v>
      </c>
      <c r="G1424">
        <v>1</v>
      </c>
      <c r="H1424" t="s">
        <v>18</v>
      </c>
      <c r="I1424" t="s">
        <v>16</v>
      </c>
      <c r="J1424" t="s">
        <v>1556</v>
      </c>
      <c r="L1424" t="s">
        <v>18</v>
      </c>
      <c r="M1424" t="s">
        <v>2689</v>
      </c>
    </row>
    <row r="1425" spans="2:13" x14ac:dyDescent="0.25">
      <c r="B1425" t="s">
        <v>2725</v>
      </c>
      <c r="C1425">
        <v>11494579</v>
      </c>
      <c r="D1425" t="str">
        <f>"4607133580827"</f>
        <v>4607133580827</v>
      </c>
      <c r="E1425" t="s">
        <v>2726</v>
      </c>
      <c r="F1425" t="s">
        <v>227</v>
      </c>
      <c r="G1425">
        <v>1</v>
      </c>
      <c r="H1425" t="s">
        <v>18</v>
      </c>
      <c r="I1425" t="s">
        <v>51</v>
      </c>
      <c r="J1425" t="s">
        <v>1571</v>
      </c>
      <c r="L1425" t="s">
        <v>18</v>
      </c>
      <c r="M1425" t="s">
        <v>1735</v>
      </c>
    </row>
    <row r="1426" spans="2:13" x14ac:dyDescent="0.25">
      <c r="B1426" t="s">
        <v>2725</v>
      </c>
      <c r="C1426">
        <v>11494587</v>
      </c>
      <c r="D1426" t="str">
        <f>"4607133580834"</f>
        <v>4607133580834</v>
      </c>
      <c r="E1426" t="s">
        <v>2727</v>
      </c>
      <c r="F1426" t="s">
        <v>2728</v>
      </c>
      <c r="G1426">
        <v>1</v>
      </c>
      <c r="H1426" t="s">
        <v>18</v>
      </c>
      <c r="I1426" t="s">
        <v>16</v>
      </c>
      <c r="J1426" t="s">
        <v>1571</v>
      </c>
      <c r="L1426" t="s">
        <v>18</v>
      </c>
      <c r="M1426" t="s">
        <v>2729</v>
      </c>
    </row>
    <row r="1427" spans="2:13" x14ac:dyDescent="0.25">
      <c r="B1427" t="s">
        <v>2725</v>
      </c>
      <c r="C1427">
        <v>11690975</v>
      </c>
      <c r="D1427" t="str">
        <f>"4607816930031"</f>
        <v>4607816930031</v>
      </c>
      <c r="E1427" t="s">
        <v>2730</v>
      </c>
      <c r="F1427" t="s">
        <v>1594</v>
      </c>
      <c r="G1427">
        <v>1</v>
      </c>
      <c r="H1427" t="s">
        <v>18</v>
      </c>
      <c r="I1427" t="s">
        <v>16</v>
      </c>
      <c r="J1427" t="s">
        <v>2522</v>
      </c>
      <c r="L1427" t="s">
        <v>18</v>
      </c>
      <c r="M1427" t="s">
        <v>2630</v>
      </c>
    </row>
    <row r="1428" spans="2:13" x14ac:dyDescent="0.25">
      <c r="B1428" t="s">
        <v>2725</v>
      </c>
      <c r="C1428">
        <v>13596560</v>
      </c>
      <c r="D1428" t="str">
        <f>"6931234571032"</f>
        <v>6931234571032</v>
      </c>
      <c r="E1428" t="s">
        <v>2731</v>
      </c>
      <c r="F1428" t="s">
        <v>2732</v>
      </c>
      <c r="G1428">
        <v>1</v>
      </c>
      <c r="H1428" t="s">
        <v>18</v>
      </c>
      <c r="I1428" t="s">
        <v>16</v>
      </c>
      <c r="J1428" t="s">
        <v>239</v>
      </c>
      <c r="L1428" t="s">
        <v>18</v>
      </c>
      <c r="M1428" t="s">
        <v>2324</v>
      </c>
    </row>
    <row r="1429" spans="2:13" x14ac:dyDescent="0.25">
      <c r="B1429" t="s">
        <v>2725</v>
      </c>
      <c r="C1429">
        <v>13977937</v>
      </c>
      <c r="D1429" t="str">
        <f>"6931234571223"</f>
        <v>6931234571223</v>
      </c>
      <c r="E1429" t="s">
        <v>2733</v>
      </c>
      <c r="F1429" t="s">
        <v>2734</v>
      </c>
      <c r="G1429">
        <v>1</v>
      </c>
      <c r="H1429" t="s">
        <v>18</v>
      </c>
      <c r="I1429" t="s">
        <v>16</v>
      </c>
      <c r="J1429" t="s">
        <v>239</v>
      </c>
      <c r="L1429" t="s">
        <v>18</v>
      </c>
      <c r="M1429" t="s">
        <v>2217</v>
      </c>
    </row>
    <row r="1430" spans="2:13" x14ac:dyDescent="0.25">
      <c r="B1430" t="s">
        <v>2725</v>
      </c>
      <c r="C1430">
        <v>15287294</v>
      </c>
      <c r="D1430" t="str">
        <f>"3276005622012"</f>
        <v>3276005622012</v>
      </c>
      <c r="E1430" t="s">
        <v>2735</v>
      </c>
      <c r="F1430" t="s">
        <v>60</v>
      </c>
      <c r="G1430">
        <v>1</v>
      </c>
      <c r="H1430" t="s">
        <v>18</v>
      </c>
      <c r="I1430" t="s">
        <v>16</v>
      </c>
      <c r="J1430" t="s">
        <v>28</v>
      </c>
      <c r="L1430" t="s">
        <v>18</v>
      </c>
      <c r="M1430" t="s">
        <v>1514</v>
      </c>
    </row>
    <row r="1431" spans="2:13" x14ac:dyDescent="0.25">
      <c r="B1431" t="s">
        <v>2725</v>
      </c>
      <c r="C1431">
        <v>15287323</v>
      </c>
      <c r="D1431" t="str">
        <f>"3276004133809"</f>
        <v>3276004133809</v>
      </c>
      <c r="E1431" t="s">
        <v>2736</v>
      </c>
      <c r="F1431" t="s">
        <v>31</v>
      </c>
      <c r="G1431">
        <v>0</v>
      </c>
      <c r="H1431" t="s">
        <v>18</v>
      </c>
      <c r="I1431" t="s">
        <v>16</v>
      </c>
      <c r="J1431" t="s">
        <v>28</v>
      </c>
      <c r="L1431" t="s">
        <v>18</v>
      </c>
      <c r="M1431" t="s">
        <v>2737</v>
      </c>
    </row>
    <row r="1432" spans="2:13" x14ac:dyDescent="0.25">
      <c r="B1432" t="s">
        <v>2725</v>
      </c>
      <c r="C1432">
        <v>16912311</v>
      </c>
      <c r="D1432" t="str">
        <f>"3276005282278"</f>
        <v>3276005282278</v>
      </c>
      <c r="E1432" t="s">
        <v>2738</v>
      </c>
      <c r="F1432" t="s">
        <v>366</v>
      </c>
      <c r="G1432">
        <v>1</v>
      </c>
      <c r="H1432" t="s">
        <v>18</v>
      </c>
      <c r="I1432" t="s">
        <v>16</v>
      </c>
      <c r="J1432" t="s">
        <v>17</v>
      </c>
      <c r="L1432" t="s">
        <v>18</v>
      </c>
      <c r="M1432" t="s">
        <v>2739</v>
      </c>
    </row>
    <row r="1433" spans="2:13" x14ac:dyDescent="0.25">
      <c r="B1433" t="s">
        <v>2725</v>
      </c>
      <c r="C1433">
        <v>16912477</v>
      </c>
      <c r="D1433" t="str">
        <f>"3276005661936"</f>
        <v>3276005661936</v>
      </c>
      <c r="E1433" t="s">
        <v>2740</v>
      </c>
      <c r="F1433" t="s">
        <v>194</v>
      </c>
      <c r="G1433">
        <v>1</v>
      </c>
      <c r="H1433" t="s">
        <v>18</v>
      </c>
      <c r="I1433" t="s">
        <v>16</v>
      </c>
      <c r="J1433" t="s">
        <v>28</v>
      </c>
      <c r="L1433" t="s">
        <v>18</v>
      </c>
      <c r="M1433" t="s">
        <v>2475</v>
      </c>
    </row>
    <row r="1434" spans="2:13" x14ac:dyDescent="0.25">
      <c r="B1434" t="s">
        <v>2725</v>
      </c>
      <c r="C1434">
        <v>16912493</v>
      </c>
      <c r="D1434" t="str">
        <f>"3276005655010"</f>
        <v>3276005655010</v>
      </c>
      <c r="E1434" t="s">
        <v>2741</v>
      </c>
      <c r="F1434" t="s">
        <v>242</v>
      </c>
      <c r="G1434">
        <v>1</v>
      </c>
      <c r="H1434" t="s">
        <v>18</v>
      </c>
      <c r="I1434" t="s">
        <v>16</v>
      </c>
      <c r="J1434" t="s">
        <v>17</v>
      </c>
      <c r="L1434" t="s">
        <v>18</v>
      </c>
      <c r="M1434" t="s">
        <v>856</v>
      </c>
    </row>
    <row r="1435" spans="2:13" x14ac:dyDescent="0.25">
      <c r="B1435" t="s">
        <v>2725</v>
      </c>
      <c r="C1435">
        <v>16912506</v>
      </c>
      <c r="D1435" t="str">
        <f>"3276005654617"</f>
        <v>3276005654617</v>
      </c>
      <c r="E1435" t="s">
        <v>2742</v>
      </c>
      <c r="F1435" t="s">
        <v>1239</v>
      </c>
      <c r="G1435">
        <v>1</v>
      </c>
      <c r="H1435" t="s">
        <v>18</v>
      </c>
      <c r="I1435" t="s">
        <v>16</v>
      </c>
      <c r="J1435" t="s">
        <v>17</v>
      </c>
      <c r="L1435" t="s">
        <v>18</v>
      </c>
      <c r="M1435" t="s">
        <v>1729</v>
      </c>
    </row>
    <row r="1436" spans="2:13" x14ac:dyDescent="0.25">
      <c r="B1436" t="s">
        <v>2725</v>
      </c>
      <c r="C1436">
        <v>18087984</v>
      </c>
      <c r="D1436" t="str">
        <f>"3276005621572"</f>
        <v>3276005621572</v>
      </c>
      <c r="E1436" t="s">
        <v>2743</v>
      </c>
      <c r="F1436" t="s">
        <v>194</v>
      </c>
      <c r="G1436">
        <v>1</v>
      </c>
      <c r="H1436" t="s">
        <v>18</v>
      </c>
      <c r="I1436" t="s">
        <v>16</v>
      </c>
      <c r="J1436" t="s">
        <v>17</v>
      </c>
      <c r="L1436" t="s">
        <v>18</v>
      </c>
      <c r="M1436" t="s">
        <v>1503</v>
      </c>
    </row>
    <row r="1437" spans="2:13" x14ac:dyDescent="0.25">
      <c r="B1437" t="s">
        <v>2744</v>
      </c>
      <c r="C1437">
        <v>13926427</v>
      </c>
      <c r="D1437" t="str">
        <f>"6931234571216"</f>
        <v>6931234571216</v>
      </c>
      <c r="E1437" t="s">
        <v>2745</v>
      </c>
      <c r="F1437" t="s">
        <v>43</v>
      </c>
      <c r="G1437">
        <v>1</v>
      </c>
      <c r="H1437" t="s">
        <v>18</v>
      </c>
      <c r="I1437" t="s">
        <v>16</v>
      </c>
      <c r="J1437" t="s">
        <v>239</v>
      </c>
      <c r="L1437" t="s">
        <v>18</v>
      </c>
      <c r="M1437" t="s">
        <v>2156</v>
      </c>
    </row>
    <row r="1438" spans="2:13" x14ac:dyDescent="0.25">
      <c r="B1438" t="s">
        <v>2744</v>
      </c>
      <c r="C1438">
        <v>13926435</v>
      </c>
      <c r="D1438" t="str">
        <f>"6931234571193"</f>
        <v>6931234571193</v>
      </c>
      <c r="E1438" t="s">
        <v>2746</v>
      </c>
      <c r="F1438" t="s">
        <v>24</v>
      </c>
      <c r="G1438">
        <v>1</v>
      </c>
      <c r="H1438" t="s">
        <v>18</v>
      </c>
      <c r="I1438" t="s">
        <v>16</v>
      </c>
      <c r="J1438" t="s">
        <v>239</v>
      </c>
      <c r="L1438" t="s">
        <v>18</v>
      </c>
      <c r="M1438" t="s">
        <v>419</v>
      </c>
    </row>
    <row r="1439" spans="2:13" x14ac:dyDescent="0.25">
      <c r="B1439" t="s">
        <v>2747</v>
      </c>
      <c r="C1439">
        <v>15287315</v>
      </c>
      <c r="D1439" t="str">
        <f>"3276005655997"</f>
        <v>3276005655997</v>
      </c>
      <c r="E1439" t="s">
        <v>2748</v>
      </c>
      <c r="F1439" t="s">
        <v>295</v>
      </c>
      <c r="G1439">
        <v>1</v>
      </c>
      <c r="H1439" t="s">
        <v>18</v>
      </c>
      <c r="I1439" t="s">
        <v>16</v>
      </c>
      <c r="J1439" t="s">
        <v>17</v>
      </c>
      <c r="L1439" t="s">
        <v>18</v>
      </c>
      <c r="M1439" t="s">
        <v>2119</v>
      </c>
    </row>
    <row r="1440" spans="2:13" x14ac:dyDescent="0.25">
      <c r="B1440" t="s">
        <v>2749</v>
      </c>
      <c r="C1440">
        <v>15082379</v>
      </c>
      <c r="D1440" t="str">
        <f>"3276005655294"</f>
        <v>3276005655294</v>
      </c>
      <c r="E1440" t="s">
        <v>2750</v>
      </c>
      <c r="F1440" t="s">
        <v>2279</v>
      </c>
      <c r="G1440">
        <v>1</v>
      </c>
      <c r="H1440" t="s">
        <v>18</v>
      </c>
      <c r="I1440" t="s">
        <v>16</v>
      </c>
      <c r="J1440" t="s">
        <v>17</v>
      </c>
      <c r="L1440" t="s">
        <v>18</v>
      </c>
      <c r="M1440" t="s">
        <v>2144</v>
      </c>
    </row>
    <row r="1441" spans="2:13" x14ac:dyDescent="0.25">
      <c r="B1441" t="s">
        <v>2749</v>
      </c>
      <c r="C1441">
        <v>15082387</v>
      </c>
      <c r="D1441" t="str">
        <f>"3276005655218"</f>
        <v>3276005655218</v>
      </c>
      <c r="E1441" t="s">
        <v>2751</v>
      </c>
      <c r="F1441" t="s">
        <v>410</v>
      </c>
      <c r="G1441">
        <v>1</v>
      </c>
      <c r="H1441" t="s">
        <v>18</v>
      </c>
      <c r="I1441" t="s">
        <v>16</v>
      </c>
      <c r="J1441" t="s">
        <v>17</v>
      </c>
      <c r="L1441" t="s">
        <v>18</v>
      </c>
      <c r="M1441" t="s">
        <v>2144</v>
      </c>
    </row>
    <row r="1442" spans="2:13" x14ac:dyDescent="0.25">
      <c r="B1442" t="s">
        <v>2749</v>
      </c>
      <c r="C1442">
        <v>15082395</v>
      </c>
      <c r="D1442" t="str">
        <f>"3276005655331"</f>
        <v>3276005655331</v>
      </c>
      <c r="E1442" t="s">
        <v>2752</v>
      </c>
      <c r="F1442" t="s">
        <v>2753</v>
      </c>
      <c r="G1442">
        <v>1</v>
      </c>
      <c r="H1442" t="s">
        <v>18</v>
      </c>
      <c r="I1442" t="s">
        <v>16</v>
      </c>
      <c r="J1442" t="s">
        <v>17</v>
      </c>
      <c r="L1442" t="s">
        <v>18</v>
      </c>
      <c r="M1442" t="s">
        <v>1977</v>
      </c>
    </row>
    <row r="1443" spans="2:13" x14ac:dyDescent="0.25">
      <c r="B1443" t="s">
        <v>2749</v>
      </c>
      <c r="C1443">
        <v>15082408</v>
      </c>
      <c r="D1443" t="str">
        <f>"3276005655614"</f>
        <v>3276005655614</v>
      </c>
      <c r="E1443" t="s">
        <v>2754</v>
      </c>
      <c r="F1443" t="s">
        <v>310</v>
      </c>
      <c r="G1443">
        <v>1</v>
      </c>
      <c r="H1443" t="s">
        <v>18</v>
      </c>
      <c r="I1443" t="s">
        <v>16</v>
      </c>
      <c r="J1443" t="s">
        <v>17</v>
      </c>
      <c r="L1443" t="s">
        <v>18</v>
      </c>
      <c r="M1443" t="s">
        <v>2144</v>
      </c>
    </row>
    <row r="1444" spans="2:13" x14ac:dyDescent="0.25">
      <c r="B1444" t="s">
        <v>2749</v>
      </c>
      <c r="C1444">
        <v>15082416</v>
      </c>
      <c r="D1444" t="str">
        <f>"3276004133922"</f>
        <v>3276004133922</v>
      </c>
      <c r="E1444" t="s">
        <v>2755</v>
      </c>
      <c r="F1444" t="s">
        <v>194</v>
      </c>
      <c r="G1444">
        <v>1</v>
      </c>
      <c r="H1444" t="s">
        <v>18</v>
      </c>
      <c r="I1444" t="s">
        <v>16</v>
      </c>
      <c r="J1444" t="s">
        <v>17</v>
      </c>
      <c r="L1444" t="s">
        <v>18</v>
      </c>
      <c r="M1444" t="s">
        <v>2144</v>
      </c>
    </row>
    <row r="1445" spans="2:13" x14ac:dyDescent="0.25">
      <c r="B1445" t="s">
        <v>2749</v>
      </c>
      <c r="C1445">
        <v>15082424</v>
      </c>
      <c r="D1445" t="str">
        <f>"3276005655171"</f>
        <v>3276005655171</v>
      </c>
      <c r="E1445" t="s">
        <v>2756</v>
      </c>
      <c r="F1445" t="s">
        <v>2757</v>
      </c>
      <c r="G1445">
        <v>1</v>
      </c>
      <c r="H1445" t="s">
        <v>18</v>
      </c>
      <c r="I1445" t="s">
        <v>16</v>
      </c>
      <c r="J1445" t="s">
        <v>17</v>
      </c>
      <c r="L1445" t="s">
        <v>18</v>
      </c>
      <c r="M1445" t="s">
        <v>2144</v>
      </c>
    </row>
    <row r="1446" spans="2:13" x14ac:dyDescent="0.25">
      <c r="B1446" t="s">
        <v>2749</v>
      </c>
      <c r="C1446">
        <v>15082432</v>
      </c>
      <c r="D1446" t="str">
        <f>"3276005655652"</f>
        <v>3276005655652</v>
      </c>
      <c r="E1446" t="s">
        <v>2758</v>
      </c>
      <c r="F1446" t="s">
        <v>485</v>
      </c>
      <c r="G1446">
        <v>1</v>
      </c>
      <c r="H1446" t="s">
        <v>18</v>
      </c>
      <c r="I1446" t="s">
        <v>16</v>
      </c>
      <c r="J1446" t="s">
        <v>17</v>
      </c>
      <c r="L1446" t="s">
        <v>18</v>
      </c>
      <c r="M1446" t="s">
        <v>815</v>
      </c>
    </row>
    <row r="1447" spans="2:13" x14ac:dyDescent="0.25">
      <c r="B1447" t="s">
        <v>2749</v>
      </c>
      <c r="C1447">
        <v>15632537</v>
      </c>
      <c r="D1447" t="str">
        <f>"6931234572664"</f>
        <v>6931234572664</v>
      </c>
      <c r="E1447" t="s">
        <v>2759</v>
      </c>
      <c r="F1447" t="s">
        <v>2647</v>
      </c>
      <c r="G1447">
        <v>1</v>
      </c>
      <c r="H1447" t="s">
        <v>18</v>
      </c>
      <c r="I1447" t="s">
        <v>16</v>
      </c>
      <c r="J1447" t="s">
        <v>239</v>
      </c>
      <c r="L1447" t="s">
        <v>18</v>
      </c>
      <c r="M1447" t="s">
        <v>2760</v>
      </c>
    </row>
    <row r="1448" spans="2:13" x14ac:dyDescent="0.25">
      <c r="B1448" t="s">
        <v>2749</v>
      </c>
      <c r="C1448">
        <v>15632545</v>
      </c>
      <c r="D1448" t="str">
        <f>"6931234572671"</f>
        <v>6931234572671</v>
      </c>
      <c r="E1448" t="s">
        <v>2761</v>
      </c>
      <c r="F1448" t="s">
        <v>823</v>
      </c>
      <c r="G1448">
        <v>1</v>
      </c>
      <c r="H1448" t="s">
        <v>18</v>
      </c>
      <c r="I1448" t="s">
        <v>16</v>
      </c>
      <c r="J1448" t="s">
        <v>239</v>
      </c>
      <c r="L1448" t="s">
        <v>18</v>
      </c>
      <c r="M1448" t="s">
        <v>2760</v>
      </c>
    </row>
    <row r="1449" spans="2:13" x14ac:dyDescent="0.25">
      <c r="B1449" t="s">
        <v>2762</v>
      </c>
      <c r="C1449">
        <v>13374474</v>
      </c>
      <c r="D1449" t="str">
        <f>"4602017003652"</f>
        <v>4602017003652</v>
      </c>
      <c r="E1449" t="s">
        <v>2763</v>
      </c>
      <c r="F1449" t="s">
        <v>525</v>
      </c>
      <c r="G1449">
        <v>1</v>
      </c>
      <c r="H1449" t="s">
        <v>18</v>
      </c>
      <c r="I1449" t="s">
        <v>51</v>
      </c>
      <c r="J1449" t="s">
        <v>1525</v>
      </c>
      <c r="L1449" t="s">
        <v>18</v>
      </c>
      <c r="M1449" t="s">
        <v>2430</v>
      </c>
    </row>
    <row r="1450" spans="2:13" x14ac:dyDescent="0.25">
      <c r="B1450" t="s">
        <v>2762</v>
      </c>
      <c r="C1450">
        <v>15036348</v>
      </c>
      <c r="D1450" t="str">
        <f>"8695024090711"</f>
        <v>8695024090711</v>
      </c>
      <c r="E1450" t="s">
        <v>2764</v>
      </c>
      <c r="F1450" t="s">
        <v>40</v>
      </c>
      <c r="G1450">
        <v>1</v>
      </c>
      <c r="H1450" t="s">
        <v>18</v>
      </c>
      <c r="I1450" t="s">
        <v>16</v>
      </c>
      <c r="J1450" t="s">
        <v>1544</v>
      </c>
      <c r="L1450" t="s">
        <v>18</v>
      </c>
      <c r="M1450" t="s">
        <v>1821</v>
      </c>
    </row>
    <row r="1451" spans="2:13" x14ac:dyDescent="0.25">
      <c r="B1451" t="s">
        <v>2762</v>
      </c>
      <c r="C1451">
        <v>15036356</v>
      </c>
      <c r="D1451" t="str">
        <f>"8695024017015"</f>
        <v>8695024017015</v>
      </c>
      <c r="E1451" t="s">
        <v>2765</v>
      </c>
      <c r="F1451" t="s">
        <v>48</v>
      </c>
      <c r="G1451">
        <v>1</v>
      </c>
      <c r="H1451" t="s">
        <v>18</v>
      </c>
      <c r="I1451" t="s">
        <v>16</v>
      </c>
      <c r="J1451" t="s">
        <v>1544</v>
      </c>
      <c r="L1451" t="s">
        <v>18</v>
      </c>
      <c r="M1451" t="s">
        <v>1873</v>
      </c>
    </row>
    <row r="1452" spans="2:13" x14ac:dyDescent="0.25">
      <c r="B1452" t="s">
        <v>2762</v>
      </c>
      <c r="C1452">
        <v>18426827</v>
      </c>
      <c r="D1452" t="str">
        <f>"8695024090605"</f>
        <v>8695024090605</v>
      </c>
      <c r="E1452" t="s">
        <v>2766</v>
      </c>
      <c r="F1452" t="s">
        <v>242</v>
      </c>
      <c r="G1452">
        <v>1</v>
      </c>
      <c r="H1452" t="s">
        <v>18</v>
      </c>
      <c r="I1452" t="s">
        <v>16</v>
      </c>
      <c r="J1452" t="s">
        <v>1544</v>
      </c>
      <c r="L1452" t="s">
        <v>18</v>
      </c>
      <c r="M1452" t="s">
        <v>1735</v>
      </c>
    </row>
    <row r="1453" spans="2:13" x14ac:dyDescent="0.25">
      <c r="B1453" t="s">
        <v>2767</v>
      </c>
      <c r="C1453">
        <v>12809261</v>
      </c>
      <c r="D1453" t="str">
        <f>"4607133583217"</f>
        <v>4607133583217</v>
      </c>
      <c r="E1453" t="s">
        <v>2768</v>
      </c>
      <c r="F1453" t="s">
        <v>40</v>
      </c>
      <c r="G1453">
        <v>1</v>
      </c>
      <c r="H1453" t="s">
        <v>18</v>
      </c>
      <c r="I1453" t="s">
        <v>16</v>
      </c>
      <c r="J1453" t="s">
        <v>1571</v>
      </c>
      <c r="L1453" t="s">
        <v>18</v>
      </c>
      <c r="M1453" t="s">
        <v>2769</v>
      </c>
    </row>
    <row r="1454" spans="2:13" x14ac:dyDescent="0.25">
      <c r="B1454" t="s">
        <v>2767</v>
      </c>
      <c r="C1454">
        <v>14023078</v>
      </c>
      <c r="D1454" t="str">
        <f>"4620765853053"</f>
        <v>4620765853053</v>
      </c>
      <c r="E1454" t="s">
        <v>2770</v>
      </c>
      <c r="F1454" t="s">
        <v>328</v>
      </c>
      <c r="G1454">
        <v>1</v>
      </c>
      <c r="H1454" t="s">
        <v>18</v>
      </c>
      <c r="I1454" t="s">
        <v>16</v>
      </c>
      <c r="J1454" t="s">
        <v>854</v>
      </c>
      <c r="L1454" t="s">
        <v>18</v>
      </c>
      <c r="M1454" t="s">
        <v>1665</v>
      </c>
    </row>
    <row r="1455" spans="2:13" x14ac:dyDescent="0.25">
      <c r="B1455" t="s">
        <v>2767</v>
      </c>
      <c r="C1455">
        <v>15036321</v>
      </c>
      <c r="D1455" t="str">
        <f>"8695024010016"</f>
        <v>8695024010016</v>
      </c>
      <c r="E1455" t="s">
        <v>2771</v>
      </c>
      <c r="F1455" t="s">
        <v>191</v>
      </c>
      <c r="G1455">
        <v>1</v>
      </c>
      <c r="H1455" t="s">
        <v>18</v>
      </c>
      <c r="I1455" t="s">
        <v>16</v>
      </c>
      <c r="J1455" t="s">
        <v>1544</v>
      </c>
      <c r="L1455" t="s">
        <v>18</v>
      </c>
      <c r="M1455" t="s">
        <v>2772</v>
      </c>
    </row>
    <row r="1456" spans="2:13" x14ac:dyDescent="0.25">
      <c r="B1456" t="s">
        <v>2767</v>
      </c>
      <c r="C1456">
        <v>15036330</v>
      </c>
      <c r="D1456" t="str">
        <f>"8695024090643"</f>
        <v>8695024090643</v>
      </c>
      <c r="E1456" t="s">
        <v>2773</v>
      </c>
      <c r="F1456" t="s">
        <v>277</v>
      </c>
      <c r="G1456">
        <v>1</v>
      </c>
      <c r="H1456" t="s">
        <v>18</v>
      </c>
      <c r="I1456" t="s">
        <v>16</v>
      </c>
      <c r="J1456" t="s">
        <v>1544</v>
      </c>
      <c r="L1456" t="s">
        <v>18</v>
      </c>
      <c r="M1456" t="s">
        <v>587</v>
      </c>
    </row>
    <row r="1457" spans="2:13" x14ac:dyDescent="0.25">
      <c r="B1457" t="s">
        <v>2774</v>
      </c>
      <c r="C1457">
        <v>12349998</v>
      </c>
      <c r="D1457" t="str">
        <f>"8024312008846"</f>
        <v>8024312008846</v>
      </c>
      <c r="E1457" t="s">
        <v>2775</v>
      </c>
      <c r="F1457" t="s">
        <v>749</v>
      </c>
      <c r="G1457">
        <v>1</v>
      </c>
      <c r="H1457" t="s">
        <v>18</v>
      </c>
      <c r="I1457" t="s">
        <v>16</v>
      </c>
      <c r="J1457" t="s">
        <v>2581</v>
      </c>
      <c r="L1457" t="s">
        <v>18</v>
      </c>
      <c r="M1457" t="s">
        <v>2038</v>
      </c>
    </row>
    <row r="1458" spans="2:13" x14ac:dyDescent="0.25">
      <c r="B1458" t="s">
        <v>2774</v>
      </c>
      <c r="C1458">
        <v>12350024</v>
      </c>
      <c r="D1458" t="str">
        <f>"8024312008792"</f>
        <v>8024312008792</v>
      </c>
      <c r="E1458" t="s">
        <v>2776</v>
      </c>
      <c r="F1458" t="s">
        <v>973</v>
      </c>
      <c r="G1458">
        <v>1</v>
      </c>
      <c r="H1458" t="s">
        <v>18</v>
      </c>
      <c r="I1458" t="s">
        <v>16</v>
      </c>
      <c r="J1458" t="s">
        <v>2581</v>
      </c>
      <c r="L1458" t="s">
        <v>18</v>
      </c>
      <c r="M1458" t="s">
        <v>2038</v>
      </c>
    </row>
    <row r="1459" spans="2:13" x14ac:dyDescent="0.25">
      <c r="B1459" t="s">
        <v>2774</v>
      </c>
      <c r="C1459">
        <v>12350075</v>
      </c>
      <c r="D1459" t="str">
        <f>"8024312009355"</f>
        <v>8024312009355</v>
      </c>
      <c r="E1459" t="s">
        <v>2777</v>
      </c>
      <c r="F1459" t="s">
        <v>876</v>
      </c>
      <c r="G1459">
        <v>1</v>
      </c>
      <c r="H1459" t="s">
        <v>18</v>
      </c>
      <c r="I1459" t="s">
        <v>16</v>
      </c>
      <c r="J1459" t="s">
        <v>2581</v>
      </c>
      <c r="L1459" t="s">
        <v>18</v>
      </c>
      <c r="M1459" t="s">
        <v>2778</v>
      </c>
    </row>
    <row r="1460" spans="2:13" x14ac:dyDescent="0.25">
      <c r="B1460" t="s">
        <v>2774</v>
      </c>
      <c r="C1460">
        <v>12353516</v>
      </c>
      <c r="D1460" t="str">
        <f>"8024312009300"</f>
        <v>8024312009300</v>
      </c>
      <c r="E1460" t="s">
        <v>2779</v>
      </c>
      <c r="F1460" t="s">
        <v>2333</v>
      </c>
      <c r="G1460">
        <v>1</v>
      </c>
      <c r="H1460" t="s">
        <v>18</v>
      </c>
      <c r="I1460" t="s">
        <v>16</v>
      </c>
      <c r="J1460" t="s">
        <v>2581</v>
      </c>
      <c r="L1460" t="s">
        <v>18</v>
      </c>
      <c r="M1460" t="s">
        <v>2778</v>
      </c>
    </row>
    <row r="1461" spans="2:13" x14ac:dyDescent="0.25">
      <c r="B1461" t="s">
        <v>2774</v>
      </c>
      <c r="C1461">
        <v>14564317</v>
      </c>
      <c r="D1461" t="str">
        <f>"4742943014718"</f>
        <v>4742943014718</v>
      </c>
      <c r="E1461" t="s">
        <v>2780</v>
      </c>
      <c r="F1461" t="s">
        <v>227</v>
      </c>
      <c r="G1461">
        <v>1</v>
      </c>
      <c r="H1461" t="s">
        <v>18</v>
      </c>
      <c r="I1461" t="s">
        <v>51</v>
      </c>
      <c r="J1461" t="s">
        <v>1976</v>
      </c>
      <c r="L1461" t="s">
        <v>18</v>
      </c>
      <c r="M1461" t="s">
        <v>2535</v>
      </c>
    </row>
    <row r="1462" spans="2:13" x14ac:dyDescent="0.25">
      <c r="B1462" t="s">
        <v>2774</v>
      </c>
      <c r="C1462">
        <v>15841291</v>
      </c>
      <c r="D1462" t="str">
        <f>"4607047301709"</f>
        <v>4607047301709</v>
      </c>
      <c r="E1462" t="s">
        <v>2781</v>
      </c>
      <c r="F1462" t="s">
        <v>2637</v>
      </c>
      <c r="G1462">
        <v>1</v>
      </c>
      <c r="H1462" t="s">
        <v>18</v>
      </c>
      <c r="I1462" t="s">
        <v>51</v>
      </c>
      <c r="J1462" t="s">
        <v>2623</v>
      </c>
      <c r="L1462" t="s">
        <v>18</v>
      </c>
      <c r="M1462" t="s">
        <v>1536</v>
      </c>
    </row>
    <row r="1463" spans="2:13" x14ac:dyDescent="0.25">
      <c r="B1463" t="s">
        <v>2782</v>
      </c>
      <c r="C1463">
        <v>13611492</v>
      </c>
      <c r="D1463" t="str">
        <f>"4607034601911"</f>
        <v>4607034601911</v>
      </c>
      <c r="E1463" t="s">
        <v>2783</v>
      </c>
      <c r="F1463" t="s">
        <v>2208</v>
      </c>
      <c r="G1463">
        <v>1</v>
      </c>
      <c r="H1463" t="s">
        <v>18</v>
      </c>
      <c r="I1463" t="s">
        <v>16</v>
      </c>
      <c r="J1463" t="s">
        <v>1525</v>
      </c>
      <c r="L1463" t="s">
        <v>18</v>
      </c>
      <c r="M1463" t="s">
        <v>2144</v>
      </c>
    </row>
    <row r="1464" spans="2:13" x14ac:dyDescent="0.25">
      <c r="B1464" t="s">
        <v>2782</v>
      </c>
      <c r="C1464">
        <v>13730010</v>
      </c>
      <c r="D1464" t="str">
        <f>"4607125632732"</f>
        <v>4607125632732</v>
      </c>
      <c r="E1464" t="s">
        <v>2784</v>
      </c>
      <c r="F1464" t="s">
        <v>31</v>
      </c>
      <c r="G1464">
        <v>1</v>
      </c>
      <c r="H1464" t="s">
        <v>18</v>
      </c>
      <c r="I1464" t="s">
        <v>16</v>
      </c>
      <c r="J1464" t="s">
        <v>2785</v>
      </c>
      <c r="L1464" t="s">
        <v>18</v>
      </c>
      <c r="M1464" t="s">
        <v>2013</v>
      </c>
    </row>
    <row r="1465" spans="2:13" x14ac:dyDescent="0.25">
      <c r="B1465" t="s">
        <v>2782</v>
      </c>
      <c r="C1465">
        <v>13730889</v>
      </c>
      <c r="D1465" t="str">
        <f>"4607125632749"</f>
        <v>4607125632749</v>
      </c>
      <c r="E1465" t="s">
        <v>2786</v>
      </c>
      <c r="F1465" t="s">
        <v>2611</v>
      </c>
      <c r="G1465">
        <v>1</v>
      </c>
      <c r="H1465" t="s">
        <v>18</v>
      </c>
      <c r="I1465" t="s">
        <v>16</v>
      </c>
      <c r="J1465" t="s">
        <v>2785</v>
      </c>
      <c r="L1465" t="s">
        <v>18</v>
      </c>
      <c r="M1465" t="s">
        <v>2787</v>
      </c>
    </row>
    <row r="1466" spans="2:13" x14ac:dyDescent="0.25">
      <c r="B1466" t="s">
        <v>2782</v>
      </c>
      <c r="C1466">
        <v>15656467</v>
      </c>
      <c r="D1466" t="str">
        <f>"4670016710093"</f>
        <v>4670016710093</v>
      </c>
      <c r="E1466" t="s">
        <v>2788</v>
      </c>
      <c r="F1466" t="s">
        <v>1379</v>
      </c>
      <c r="G1466">
        <v>1</v>
      </c>
      <c r="H1466" t="s">
        <v>18</v>
      </c>
      <c r="I1466" t="s">
        <v>16</v>
      </c>
      <c r="J1466" t="s">
        <v>2789</v>
      </c>
      <c r="L1466" t="s">
        <v>18</v>
      </c>
      <c r="M1466" t="s">
        <v>1704</v>
      </c>
    </row>
    <row r="1467" spans="2:13" x14ac:dyDescent="0.25">
      <c r="B1467" t="s">
        <v>2782</v>
      </c>
      <c r="C1467">
        <v>15656475</v>
      </c>
      <c r="D1467" t="str">
        <f>"4670016710116"</f>
        <v>4670016710116</v>
      </c>
      <c r="E1467" t="s">
        <v>2790</v>
      </c>
      <c r="F1467" t="s">
        <v>240</v>
      </c>
      <c r="G1467">
        <v>1</v>
      </c>
      <c r="H1467" t="s">
        <v>18</v>
      </c>
      <c r="I1467" t="s">
        <v>16</v>
      </c>
      <c r="J1467" t="s">
        <v>2789</v>
      </c>
      <c r="L1467" t="s">
        <v>18</v>
      </c>
      <c r="M1467" t="s">
        <v>1597</v>
      </c>
    </row>
    <row r="1468" spans="2:13" x14ac:dyDescent="0.25">
      <c r="B1468" t="s">
        <v>2782</v>
      </c>
      <c r="C1468">
        <v>15656483</v>
      </c>
      <c r="D1468" t="str">
        <f>"4670016710055"</f>
        <v>4670016710055</v>
      </c>
      <c r="E1468" t="s">
        <v>2791</v>
      </c>
      <c r="F1468" t="s">
        <v>1561</v>
      </c>
      <c r="G1468">
        <v>1</v>
      </c>
      <c r="H1468" t="s">
        <v>18</v>
      </c>
      <c r="I1468" t="s">
        <v>16</v>
      </c>
      <c r="J1468" t="s">
        <v>2789</v>
      </c>
      <c r="L1468" t="s">
        <v>18</v>
      </c>
      <c r="M1468" t="s">
        <v>2792</v>
      </c>
    </row>
    <row r="1469" spans="2:13" x14ac:dyDescent="0.25">
      <c r="B1469" t="s">
        <v>2782</v>
      </c>
      <c r="C1469">
        <v>16691301</v>
      </c>
      <c r="D1469" t="str">
        <f>"3276005184343"</f>
        <v>3276005184343</v>
      </c>
      <c r="E1469" t="s">
        <v>2793</v>
      </c>
      <c r="F1469" t="s">
        <v>43</v>
      </c>
      <c r="G1469">
        <v>1</v>
      </c>
      <c r="H1469" t="s">
        <v>18</v>
      </c>
      <c r="I1469" t="s">
        <v>16</v>
      </c>
      <c r="J1469" t="s">
        <v>17</v>
      </c>
      <c r="L1469" t="s">
        <v>18</v>
      </c>
      <c r="M1469" t="s">
        <v>2794</v>
      </c>
    </row>
    <row r="1470" spans="2:13" x14ac:dyDescent="0.25">
      <c r="B1470" t="s">
        <v>2782</v>
      </c>
      <c r="C1470">
        <v>17815484</v>
      </c>
      <c r="D1470" t="str">
        <f>"4670016710451"</f>
        <v>4670016710451</v>
      </c>
      <c r="E1470" t="s">
        <v>2795</v>
      </c>
      <c r="F1470" t="s">
        <v>753</v>
      </c>
      <c r="G1470">
        <v>1</v>
      </c>
      <c r="H1470" t="s">
        <v>18</v>
      </c>
      <c r="I1470" t="s">
        <v>16</v>
      </c>
      <c r="J1470" t="s">
        <v>2789</v>
      </c>
      <c r="L1470" t="s">
        <v>18</v>
      </c>
      <c r="M1470" t="s">
        <v>1673</v>
      </c>
    </row>
    <row r="1471" spans="2:13" x14ac:dyDescent="0.25">
      <c r="B1471" t="s">
        <v>2782</v>
      </c>
      <c r="C1471">
        <v>17815492</v>
      </c>
      <c r="D1471" t="str">
        <f>"4670016710499"</f>
        <v>4670016710499</v>
      </c>
      <c r="E1471" t="s">
        <v>2796</v>
      </c>
      <c r="F1471" t="s">
        <v>2267</v>
      </c>
      <c r="G1471">
        <v>1</v>
      </c>
      <c r="H1471" t="s">
        <v>18</v>
      </c>
      <c r="I1471" t="s">
        <v>16</v>
      </c>
      <c r="J1471" t="s">
        <v>2789</v>
      </c>
      <c r="L1471" t="s">
        <v>18</v>
      </c>
      <c r="M1471" t="s">
        <v>1673</v>
      </c>
    </row>
    <row r="1472" spans="2:13" x14ac:dyDescent="0.25">
      <c r="B1472" t="s">
        <v>2797</v>
      </c>
      <c r="C1472">
        <v>11832881</v>
      </c>
      <c r="D1472" t="str">
        <f>"4607157110239"</f>
        <v>4607157110239</v>
      </c>
      <c r="E1472" t="s">
        <v>2798</v>
      </c>
      <c r="F1472" t="s">
        <v>277</v>
      </c>
      <c r="G1472">
        <v>1</v>
      </c>
      <c r="H1472" t="s">
        <v>18</v>
      </c>
      <c r="I1472" t="s">
        <v>16</v>
      </c>
      <c r="J1472" t="s">
        <v>1556</v>
      </c>
      <c r="L1472" t="s">
        <v>18</v>
      </c>
      <c r="M1472" t="s">
        <v>1812</v>
      </c>
    </row>
    <row r="1473" spans="2:13" x14ac:dyDescent="0.25">
      <c r="B1473" t="s">
        <v>2797</v>
      </c>
      <c r="C1473">
        <v>11832902</v>
      </c>
      <c r="D1473" t="str">
        <f>"4607157110253"</f>
        <v>4607157110253</v>
      </c>
      <c r="E1473" t="s">
        <v>2799</v>
      </c>
      <c r="F1473" t="s">
        <v>285</v>
      </c>
      <c r="G1473">
        <v>1</v>
      </c>
      <c r="H1473" t="s">
        <v>18</v>
      </c>
      <c r="I1473" t="s">
        <v>16</v>
      </c>
      <c r="J1473" t="s">
        <v>1556</v>
      </c>
      <c r="L1473" t="s">
        <v>18</v>
      </c>
      <c r="M1473" t="s">
        <v>1812</v>
      </c>
    </row>
    <row r="1474" spans="2:13" x14ac:dyDescent="0.25">
      <c r="B1474" t="s">
        <v>2797</v>
      </c>
      <c r="C1474">
        <v>12401178</v>
      </c>
      <c r="D1474" t="str">
        <f>"4607130482469"</f>
        <v>4607130482469</v>
      </c>
      <c r="E1474" t="s">
        <v>2800</v>
      </c>
      <c r="F1474" t="s">
        <v>165</v>
      </c>
      <c r="G1474">
        <v>1</v>
      </c>
      <c r="H1474" t="s">
        <v>18</v>
      </c>
      <c r="I1474" t="s">
        <v>16</v>
      </c>
      <c r="J1474" t="s">
        <v>2801</v>
      </c>
      <c r="L1474" t="s">
        <v>18</v>
      </c>
      <c r="M1474" t="s">
        <v>577</v>
      </c>
    </row>
    <row r="1475" spans="2:13" x14ac:dyDescent="0.25">
      <c r="B1475" t="s">
        <v>2797</v>
      </c>
      <c r="C1475">
        <v>12401194</v>
      </c>
      <c r="D1475" t="str">
        <f>"4607130482483"</f>
        <v>4607130482483</v>
      </c>
      <c r="E1475" t="s">
        <v>2802</v>
      </c>
      <c r="F1475" t="s">
        <v>60</v>
      </c>
      <c r="G1475">
        <v>1</v>
      </c>
      <c r="H1475" t="s">
        <v>18</v>
      </c>
      <c r="I1475" t="s">
        <v>16</v>
      </c>
      <c r="J1475" t="s">
        <v>2801</v>
      </c>
      <c r="L1475" t="s">
        <v>18</v>
      </c>
      <c r="M1475" t="s">
        <v>577</v>
      </c>
    </row>
    <row r="1476" spans="2:13" x14ac:dyDescent="0.25">
      <c r="B1476" t="s">
        <v>2797</v>
      </c>
      <c r="C1476">
        <v>12401231</v>
      </c>
      <c r="D1476" t="str">
        <f>"4607130489505"</f>
        <v>4607130489505</v>
      </c>
      <c r="E1476" t="s">
        <v>2803</v>
      </c>
      <c r="F1476" t="s">
        <v>525</v>
      </c>
      <c r="G1476">
        <v>1</v>
      </c>
      <c r="H1476" t="s">
        <v>18</v>
      </c>
      <c r="I1476" t="s">
        <v>16</v>
      </c>
      <c r="J1476" t="s">
        <v>2801</v>
      </c>
      <c r="L1476" t="s">
        <v>18</v>
      </c>
      <c r="M1476" t="s">
        <v>2374</v>
      </c>
    </row>
    <row r="1477" spans="2:13" x14ac:dyDescent="0.25">
      <c r="B1477" t="s">
        <v>2797</v>
      </c>
      <c r="C1477">
        <v>13910046</v>
      </c>
      <c r="D1477" t="str">
        <f>"4607125632787"</f>
        <v>4607125632787</v>
      </c>
      <c r="E1477" t="s">
        <v>2804</v>
      </c>
      <c r="F1477" t="s">
        <v>295</v>
      </c>
      <c r="G1477">
        <v>1</v>
      </c>
      <c r="H1477" t="s">
        <v>18</v>
      </c>
      <c r="I1477" t="s">
        <v>16</v>
      </c>
      <c r="J1477" t="s">
        <v>2785</v>
      </c>
      <c r="L1477" t="s">
        <v>18</v>
      </c>
      <c r="M1477" t="s">
        <v>2471</v>
      </c>
    </row>
    <row r="1478" spans="2:13" x14ac:dyDescent="0.25">
      <c r="B1478" t="s">
        <v>2797</v>
      </c>
      <c r="C1478">
        <v>13910062</v>
      </c>
      <c r="D1478" t="str">
        <f>"4607125632794"</f>
        <v>4607125632794</v>
      </c>
      <c r="E1478" t="s">
        <v>2805</v>
      </c>
      <c r="F1478" t="s">
        <v>1178</v>
      </c>
      <c r="G1478">
        <v>1</v>
      </c>
      <c r="H1478" t="s">
        <v>18</v>
      </c>
      <c r="I1478" t="s">
        <v>16</v>
      </c>
      <c r="J1478" t="s">
        <v>2785</v>
      </c>
      <c r="L1478" t="s">
        <v>18</v>
      </c>
      <c r="M1478" t="s">
        <v>1020</v>
      </c>
    </row>
    <row r="1479" spans="2:13" x14ac:dyDescent="0.25">
      <c r="B1479" t="s">
        <v>2797</v>
      </c>
      <c r="C1479">
        <v>15674438</v>
      </c>
      <c r="D1479" t="str">
        <f>"4670016710253"</f>
        <v>4670016710253</v>
      </c>
      <c r="E1479" t="s">
        <v>2806</v>
      </c>
      <c r="F1479" t="s">
        <v>277</v>
      </c>
      <c r="G1479">
        <v>1</v>
      </c>
      <c r="H1479" t="s">
        <v>18</v>
      </c>
      <c r="I1479" t="s">
        <v>16</v>
      </c>
      <c r="J1479" t="s">
        <v>2789</v>
      </c>
      <c r="L1479" t="s">
        <v>18</v>
      </c>
      <c r="M1479" t="s">
        <v>2807</v>
      </c>
    </row>
    <row r="1480" spans="2:13" x14ac:dyDescent="0.25">
      <c r="B1480" t="s">
        <v>2797</v>
      </c>
      <c r="C1480">
        <v>16690325</v>
      </c>
      <c r="D1480" t="str">
        <f>"3276004317971"</f>
        <v>3276004317971</v>
      </c>
      <c r="E1480" t="s">
        <v>2808</v>
      </c>
      <c r="F1480" t="s">
        <v>194</v>
      </c>
      <c r="G1480">
        <v>1</v>
      </c>
      <c r="H1480" t="s">
        <v>18</v>
      </c>
      <c r="I1480" t="s">
        <v>16</v>
      </c>
      <c r="J1480" t="s">
        <v>17</v>
      </c>
      <c r="L1480" t="s">
        <v>18</v>
      </c>
      <c r="M1480" t="s">
        <v>2809</v>
      </c>
    </row>
    <row r="1481" spans="2:13" x14ac:dyDescent="0.25">
      <c r="B1481" t="s">
        <v>2797</v>
      </c>
      <c r="C1481">
        <v>16691299</v>
      </c>
      <c r="D1481" t="str">
        <f>"3276005186743"</f>
        <v>3276005186743</v>
      </c>
      <c r="E1481" t="s">
        <v>2810</v>
      </c>
      <c r="F1481" t="s">
        <v>185</v>
      </c>
      <c r="G1481">
        <v>1</v>
      </c>
      <c r="H1481" t="s">
        <v>18</v>
      </c>
      <c r="I1481" t="s">
        <v>16</v>
      </c>
      <c r="J1481" t="s">
        <v>17</v>
      </c>
      <c r="L1481" t="s">
        <v>18</v>
      </c>
      <c r="M1481" t="s">
        <v>2811</v>
      </c>
    </row>
    <row r="1482" spans="2:13" x14ac:dyDescent="0.25">
      <c r="B1482" t="s">
        <v>2797</v>
      </c>
      <c r="C1482">
        <v>17089291</v>
      </c>
      <c r="D1482" t="str">
        <f>"4670000371927"</f>
        <v>4670000371927</v>
      </c>
      <c r="E1482" t="s">
        <v>2812</v>
      </c>
      <c r="F1482" t="s">
        <v>205</v>
      </c>
      <c r="G1482">
        <v>1</v>
      </c>
      <c r="H1482" t="s">
        <v>18</v>
      </c>
      <c r="I1482" t="s">
        <v>16</v>
      </c>
      <c r="J1482" t="s">
        <v>2801</v>
      </c>
      <c r="L1482" t="s">
        <v>18</v>
      </c>
      <c r="M1482" t="s">
        <v>577</v>
      </c>
    </row>
    <row r="1483" spans="2:13" x14ac:dyDescent="0.25">
      <c r="B1483" t="s">
        <v>2797</v>
      </c>
      <c r="C1483">
        <v>17089304</v>
      </c>
      <c r="D1483" t="str">
        <f>"4607130481875"</f>
        <v>4607130481875</v>
      </c>
      <c r="E1483" t="s">
        <v>2813</v>
      </c>
      <c r="F1483" t="s">
        <v>1594</v>
      </c>
      <c r="G1483">
        <v>1</v>
      </c>
      <c r="H1483" t="s">
        <v>18</v>
      </c>
      <c r="I1483" t="s">
        <v>16</v>
      </c>
      <c r="J1483" t="s">
        <v>2801</v>
      </c>
      <c r="L1483" t="s">
        <v>18</v>
      </c>
      <c r="M1483" t="s">
        <v>577</v>
      </c>
    </row>
    <row r="1484" spans="2:13" x14ac:dyDescent="0.25">
      <c r="B1484" t="s">
        <v>2797</v>
      </c>
      <c r="C1484">
        <v>17089312</v>
      </c>
      <c r="D1484" t="str">
        <f>"4607130489529"</f>
        <v>4607130489529</v>
      </c>
      <c r="E1484" t="s">
        <v>2814</v>
      </c>
      <c r="F1484" t="s">
        <v>485</v>
      </c>
      <c r="G1484">
        <v>1</v>
      </c>
      <c r="H1484" t="s">
        <v>18</v>
      </c>
      <c r="I1484" t="s">
        <v>16</v>
      </c>
      <c r="J1484" t="s">
        <v>2801</v>
      </c>
      <c r="L1484" t="s">
        <v>18</v>
      </c>
      <c r="M1484" t="s">
        <v>2815</v>
      </c>
    </row>
    <row r="1485" spans="2:13" x14ac:dyDescent="0.25">
      <c r="B1485" t="s">
        <v>2797</v>
      </c>
      <c r="C1485">
        <v>17089321</v>
      </c>
      <c r="D1485" t="str">
        <f>"4607130488805"</f>
        <v>4607130488805</v>
      </c>
      <c r="E1485" t="s">
        <v>2816</v>
      </c>
      <c r="F1485" t="s">
        <v>14</v>
      </c>
      <c r="G1485">
        <v>1</v>
      </c>
      <c r="H1485" t="s">
        <v>18</v>
      </c>
      <c r="I1485" t="s">
        <v>16</v>
      </c>
      <c r="J1485" t="s">
        <v>2801</v>
      </c>
      <c r="L1485" t="s">
        <v>18</v>
      </c>
      <c r="M1485" t="s">
        <v>577</v>
      </c>
    </row>
    <row r="1486" spans="2:13" x14ac:dyDescent="0.25">
      <c r="B1486" t="s">
        <v>2797</v>
      </c>
      <c r="C1486">
        <v>17185523</v>
      </c>
      <c r="D1486" t="str">
        <f>"4630021680446"</f>
        <v>4630021680446</v>
      </c>
      <c r="E1486" t="s">
        <v>2817</v>
      </c>
      <c r="F1486" t="s">
        <v>240</v>
      </c>
      <c r="G1486">
        <v>1</v>
      </c>
      <c r="H1486" t="s">
        <v>18</v>
      </c>
      <c r="I1486" t="s">
        <v>16</v>
      </c>
      <c r="J1486" t="s">
        <v>1525</v>
      </c>
      <c r="L1486" t="s">
        <v>18</v>
      </c>
      <c r="M1486" t="s">
        <v>893</v>
      </c>
    </row>
    <row r="1487" spans="2:13" x14ac:dyDescent="0.25">
      <c r="B1487" t="s">
        <v>2797</v>
      </c>
      <c r="C1487">
        <v>17185540</v>
      </c>
      <c r="D1487" t="str">
        <f>"4630021680460"</f>
        <v>4630021680460</v>
      </c>
      <c r="E1487" t="s">
        <v>2818</v>
      </c>
      <c r="F1487" t="s">
        <v>227</v>
      </c>
      <c r="G1487">
        <v>1</v>
      </c>
      <c r="H1487" t="s">
        <v>18</v>
      </c>
      <c r="I1487" t="s">
        <v>16</v>
      </c>
      <c r="J1487" t="s">
        <v>1525</v>
      </c>
      <c r="L1487" t="s">
        <v>18</v>
      </c>
      <c r="M1487" t="s">
        <v>893</v>
      </c>
    </row>
    <row r="1488" spans="2:13" x14ac:dyDescent="0.25">
      <c r="B1488" t="s">
        <v>2797</v>
      </c>
      <c r="C1488">
        <v>17358383</v>
      </c>
      <c r="D1488" t="str">
        <f>"4607118807765"</f>
        <v>4607118807765</v>
      </c>
      <c r="E1488" t="s">
        <v>2819</v>
      </c>
      <c r="F1488" t="s">
        <v>109</v>
      </c>
      <c r="G1488">
        <v>1</v>
      </c>
      <c r="H1488" t="s">
        <v>18</v>
      </c>
      <c r="I1488" t="s">
        <v>16</v>
      </c>
      <c r="J1488" t="s">
        <v>2785</v>
      </c>
      <c r="L1488" t="s">
        <v>18</v>
      </c>
      <c r="M1488" t="s">
        <v>2820</v>
      </c>
    </row>
    <row r="1489" spans="2:13" x14ac:dyDescent="0.25">
      <c r="B1489" t="s">
        <v>2797</v>
      </c>
      <c r="C1489">
        <v>17536485</v>
      </c>
      <c r="D1489" t="str">
        <f>"4670016710260"</f>
        <v>4670016710260</v>
      </c>
      <c r="E1489" t="s">
        <v>2821</v>
      </c>
      <c r="F1489" t="s">
        <v>389</v>
      </c>
      <c r="G1489">
        <v>1</v>
      </c>
      <c r="H1489" t="s">
        <v>18</v>
      </c>
      <c r="I1489" t="s">
        <v>16</v>
      </c>
      <c r="J1489" t="s">
        <v>2789</v>
      </c>
      <c r="L1489" t="s">
        <v>18</v>
      </c>
      <c r="M1489" t="s">
        <v>2737</v>
      </c>
    </row>
    <row r="1490" spans="2:13" x14ac:dyDescent="0.25">
      <c r="B1490" t="s">
        <v>2797</v>
      </c>
      <c r="C1490">
        <v>17536493</v>
      </c>
      <c r="D1490" t="str">
        <f>"4670016710635"</f>
        <v>4670016710635</v>
      </c>
      <c r="E1490" t="s">
        <v>2822</v>
      </c>
      <c r="F1490" t="s">
        <v>491</v>
      </c>
      <c r="G1490">
        <v>1</v>
      </c>
      <c r="H1490" t="s">
        <v>18</v>
      </c>
      <c r="I1490" t="s">
        <v>16</v>
      </c>
      <c r="J1490" t="s">
        <v>2789</v>
      </c>
      <c r="L1490" t="s">
        <v>18</v>
      </c>
      <c r="M1490" t="s">
        <v>2823</v>
      </c>
    </row>
    <row r="1491" spans="2:13" x14ac:dyDescent="0.25">
      <c r="B1491" t="s">
        <v>2797</v>
      </c>
      <c r="C1491">
        <v>17536506</v>
      </c>
      <c r="D1491" t="str">
        <f>"2000175365063"</f>
        <v>2000175365063</v>
      </c>
      <c r="E1491" t="s">
        <v>2824</v>
      </c>
      <c r="F1491" t="s">
        <v>27</v>
      </c>
      <c r="G1491">
        <v>1</v>
      </c>
      <c r="H1491" t="s">
        <v>18</v>
      </c>
      <c r="I1491" t="s">
        <v>16</v>
      </c>
      <c r="J1491" t="s">
        <v>2789</v>
      </c>
      <c r="L1491" t="s">
        <v>18</v>
      </c>
      <c r="M1491" t="s">
        <v>2825</v>
      </c>
    </row>
    <row r="1492" spans="2:13" x14ac:dyDescent="0.25">
      <c r="B1492" t="s">
        <v>2797</v>
      </c>
      <c r="C1492">
        <v>17815505</v>
      </c>
      <c r="D1492" t="str">
        <f>"4670016710628"</f>
        <v>4670016710628</v>
      </c>
      <c r="E1492" t="s">
        <v>2826</v>
      </c>
      <c r="F1492" t="s">
        <v>389</v>
      </c>
      <c r="G1492">
        <v>1</v>
      </c>
      <c r="H1492" t="s">
        <v>18</v>
      </c>
      <c r="I1492" t="s">
        <v>16</v>
      </c>
      <c r="J1492" t="s">
        <v>2789</v>
      </c>
      <c r="L1492" t="s">
        <v>18</v>
      </c>
      <c r="M1492" t="s">
        <v>2823</v>
      </c>
    </row>
    <row r="1493" spans="2:13" x14ac:dyDescent="0.25">
      <c r="B1493" t="s">
        <v>2797</v>
      </c>
      <c r="C1493">
        <v>17815513</v>
      </c>
      <c r="D1493" t="str">
        <f>"4670016710673"</f>
        <v>4670016710673</v>
      </c>
      <c r="E1493" t="s">
        <v>2827</v>
      </c>
      <c r="F1493" t="s">
        <v>109</v>
      </c>
      <c r="G1493">
        <v>1</v>
      </c>
      <c r="H1493" t="s">
        <v>18</v>
      </c>
      <c r="I1493" t="s">
        <v>16</v>
      </c>
      <c r="J1493" t="s">
        <v>2789</v>
      </c>
      <c r="L1493" t="s">
        <v>18</v>
      </c>
      <c r="M1493" t="s">
        <v>2823</v>
      </c>
    </row>
    <row r="1494" spans="2:13" x14ac:dyDescent="0.25">
      <c r="B1494" t="s">
        <v>2797</v>
      </c>
      <c r="C1494">
        <v>17859241</v>
      </c>
      <c r="D1494" t="str">
        <f>"4670016710468"</f>
        <v>4670016710468</v>
      </c>
      <c r="E1494" t="s">
        <v>2828</v>
      </c>
      <c r="F1494" t="s">
        <v>48</v>
      </c>
      <c r="G1494">
        <v>1</v>
      </c>
      <c r="H1494" t="s">
        <v>18</v>
      </c>
      <c r="I1494" t="s">
        <v>16</v>
      </c>
      <c r="J1494" t="s">
        <v>2789</v>
      </c>
      <c r="L1494" t="s">
        <v>18</v>
      </c>
      <c r="M1494" t="s">
        <v>1423</v>
      </c>
    </row>
    <row r="1495" spans="2:13" x14ac:dyDescent="0.25">
      <c r="B1495" t="s">
        <v>2829</v>
      </c>
      <c r="C1495">
        <v>16690333</v>
      </c>
      <c r="D1495" t="str">
        <f>"3276004309914"</f>
        <v>3276004309914</v>
      </c>
      <c r="E1495" t="s">
        <v>2830</v>
      </c>
      <c r="F1495" t="s">
        <v>389</v>
      </c>
      <c r="G1495">
        <v>1</v>
      </c>
      <c r="H1495" t="s">
        <v>18</v>
      </c>
      <c r="I1495" t="s">
        <v>16</v>
      </c>
      <c r="J1495" t="s">
        <v>17</v>
      </c>
      <c r="L1495" t="s">
        <v>18</v>
      </c>
      <c r="M1495" t="s">
        <v>2809</v>
      </c>
    </row>
    <row r="1496" spans="2:13" x14ac:dyDescent="0.25">
      <c r="B1496" t="s">
        <v>2829</v>
      </c>
      <c r="C1496">
        <v>16741313</v>
      </c>
      <c r="D1496" t="str">
        <f>"3276200049348"</f>
        <v>3276200049348</v>
      </c>
      <c r="E1496" t="s">
        <v>2831</v>
      </c>
      <c r="F1496" t="s">
        <v>40</v>
      </c>
      <c r="G1496">
        <v>1</v>
      </c>
      <c r="H1496" t="s">
        <v>18</v>
      </c>
      <c r="I1496" t="s">
        <v>16</v>
      </c>
      <c r="J1496" t="s">
        <v>17</v>
      </c>
      <c r="L1496" t="s">
        <v>18</v>
      </c>
      <c r="M1496" t="s">
        <v>2832</v>
      </c>
    </row>
    <row r="1497" spans="2:13" x14ac:dyDescent="0.25">
      <c r="B1497" t="s">
        <v>2833</v>
      </c>
      <c r="C1497">
        <v>16693307</v>
      </c>
      <c r="D1497" t="str">
        <f>"3276000160205"</f>
        <v>3276000160205</v>
      </c>
      <c r="E1497" t="s">
        <v>2834</v>
      </c>
      <c r="F1497" t="s">
        <v>165</v>
      </c>
      <c r="G1497">
        <v>1</v>
      </c>
      <c r="H1497" t="s">
        <v>18</v>
      </c>
      <c r="I1497" t="s">
        <v>16</v>
      </c>
      <c r="J1497" t="s">
        <v>28</v>
      </c>
      <c r="L1497" t="s">
        <v>18</v>
      </c>
      <c r="M1497" t="s">
        <v>1343</v>
      </c>
    </row>
    <row r="1498" spans="2:13" x14ac:dyDescent="0.25">
      <c r="B1498" t="s">
        <v>2833</v>
      </c>
      <c r="C1498">
        <v>16693315</v>
      </c>
      <c r="D1498" t="str">
        <f>"3276005622371"</f>
        <v>3276005622371</v>
      </c>
      <c r="E1498" t="s">
        <v>2835</v>
      </c>
      <c r="F1498" t="s">
        <v>14</v>
      </c>
      <c r="G1498">
        <v>1</v>
      </c>
      <c r="H1498" t="s">
        <v>18</v>
      </c>
      <c r="I1498" t="s">
        <v>16</v>
      </c>
      <c r="J1498" t="s">
        <v>17</v>
      </c>
      <c r="L1498" t="s">
        <v>18</v>
      </c>
      <c r="M1498" t="s">
        <v>2836</v>
      </c>
    </row>
    <row r="1499" spans="2:13" x14ac:dyDescent="0.25">
      <c r="B1499" t="s">
        <v>2833</v>
      </c>
      <c r="C1499">
        <v>16741321</v>
      </c>
      <c r="D1499" t="str">
        <f>"3276005607446"</f>
        <v>3276005607446</v>
      </c>
      <c r="E1499" t="s">
        <v>2837</v>
      </c>
      <c r="F1499" t="s">
        <v>285</v>
      </c>
      <c r="G1499">
        <v>1</v>
      </c>
      <c r="H1499" t="s">
        <v>18</v>
      </c>
      <c r="I1499" t="s">
        <v>16</v>
      </c>
      <c r="J1499" t="s">
        <v>17</v>
      </c>
      <c r="L1499" t="s">
        <v>18</v>
      </c>
      <c r="M1499" t="s">
        <v>2838</v>
      </c>
    </row>
    <row r="1500" spans="2:13" x14ac:dyDescent="0.25">
      <c r="B1500" t="s">
        <v>2833</v>
      </c>
      <c r="C1500">
        <v>16741330</v>
      </c>
      <c r="D1500" t="str">
        <f>"3276005607354"</f>
        <v>3276005607354</v>
      </c>
      <c r="E1500" t="s">
        <v>2839</v>
      </c>
      <c r="F1500" t="s">
        <v>491</v>
      </c>
      <c r="G1500">
        <v>1</v>
      </c>
      <c r="H1500" t="s">
        <v>18</v>
      </c>
      <c r="I1500" t="s">
        <v>16</v>
      </c>
      <c r="J1500" t="s">
        <v>17</v>
      </c>
      <c r="L1500" t="s">
        <v>18</v>
      </c>
      <c r="M1500" t="s">
        <v>2840</v>
      </c>
    </row>
    <row r="1501" spans="2:13" x14ac:dyDescent="0.25">
      <c r="B1501" t="s">
        <v>2833</v>
      </c>
      <c r="C1501">
        <v>16741348</v>
      </c>
      <c r="D1501" t="str">
        <f>"3276004837677"</f>
        <v>3276004837677</v>
      </c>
      <c r="E1501" t="s">
        <v>2841</v>
      </c>
      <c r="F1501" t="s">
        <v>285</v>
      </c>
      <c r="G1501">
        <v>1</v>
      </c>
      <c r="H1501" t="s">
        <v>18</v>
      </c>
      <c r="I1501" t="s">
        <v>16</v>
      </c>
      <c r="J1501" t="s">
        <v>17</v>
      </c>
      <c r="L1501" t="s">
        <v>18</v>
      </c>
      <c r="M1501" t="s">
        <v>2842</v>
      </c>
    </row>
    <row r="1502" spans="2:13" x14ac:dyDescent="0.25">
      <c r="B1502" t="s">
        <v>2833</v>
      </c>
      <c r="C1502">
        <v>16741356</v>
      </c>
      <c r="D1502" t="str">
        <f>"3276200288044"</f>
        <v>3276200288044</v>
      </c>
      <c r="E1502" t="s">
        <v>2843</v>
      </c>
      <c r="F1502" t="s">
        <v>191</v>
      </c>
      <c r="G1502">
        <v>1</v>
      </c>
      <c r="H1502" t="s">
        <v>18</v>
      </c>
      <c r="I1502" t="s">
        <v>16</v>
      </c>
      <c r="J1502" t="s">
        <v>17</v>
      </c>
      <c r="L1502" t="s">
        <v>18</v>
      </c>
      <c r="M1502" t="s">
        <v>2842</v>
      </c>
    </row>
    <row r="1503" spans="2:13" x14ac:dyDescent="0.25">
      <c r="B1503" t="s">
        <v>2833</v>
      </c>
      <c r="C1503">
        <v>16741364</v>
      </c>
      <c r="D1503" t="str">
        <f>"3276005607323"</f>
        <v>3276005607323</v>
      </c>
      <c r="E1503" t="s">
        <v>2844</v>
      </c>
      <c r="F1503" t="s">
        <v>268</v>
      </c>
      <c r="G1503">
        <v>1</v>
      </c>
      <c r="H1503" t="s">
        <v>18</v>
      </c>
      <c r="I1503" t="s">
        <v>16</v>
      </c>
      <c r="J1503" t="s">
        <v>17</v>
      </c>
      <c r="L1503" t="s">
        <v>18</v>
      </c>
      <c r="M1503" t="s">
        <v>2842</v>
      </c>
    </row>
    <row r="1504" spans="2:13" x14ac:dyDescent="0.25">
      <c r="B1504" t="s">
        <v>2845</v>
      </c>
      <c r="C1504">
        <v>13514879</v>
      </c>
      <c r="D1504" t="str">
        <f>"4630021680477"</f>
        <v>4630021680477</v>
      </c>
      <c r="E1504" t="s">
        <v>2846</v>
      </c>
      <c r="F1504" t="s">
        <v>185</v>
      </c>
      <c r="G1504">
        <v>1</v>
      </c>
      <c r="H1504" t="s">
        <v>18</v>
      </c>
      <c r="I1504" t="s">
        <v>16</v>
      </c>
      <c r="J1504" t="s">
        <v>1525</v>
      </c>
      <c r="L1504" t="s">
        <v>18</v>
      </c>
      <c r="M1504" t="s">
        <v>2847</v>
      </c>
    </row>
    <row r="1505" spans="2:13" x14ac:dyDescent="0.25">
      <c r="B1505" t="s">
        <v>2845</v>
      </c>
      <c r="C1505">
        <v>13514908</v>
      </c>
      <c r="D1505" t="str">
        <f>"4630021680484"</f>
        <v>4630021680484</v>
      </c>
      <c r="E1505" t="s">
        <v>2848</v>
      </c>
      <c r="F1505" t="s">
        <v>1934</v>
      </c>
      <c r="G1505">
        <v>1</v>
      </c>
      <c r="H1505" t="s">
        <v>18</v>
      </c>
      <c r="I1505" t="s">
        <v>16</v>
      </c>
      <c r="J1505" t="s">
        <v>1525</v>
      </c>
      <c r="L1505" t="s">
        <v>18</v>
      </c>
      <c r="M1505" t="s">
        <v>2847</v>
      </c>
    </row>
    <row r="1506" spans="2:13" x14ac:dyDescent="0.25">
      <c r="B1506" t="s">
        <v>2845</v>
      </c>
      <c r="C1506">
        <v>13514916</v>
      </c>
      <c r="D1506" t="str">
        <f>"4630021680491"</f>
        <v>4630021680491</v>
      </c>
      <c r="E1506" t="s">
        <v>2849</v>
      </c>
      <c r="F1506" t="s">
        <v>34</v>
      </c>
      <c r="G1506">
        <v>1</v>
      </c>
      <c r="H1506" t="s">
        <v>18</v>
      </c>
      <c r="I1506" t="s">
        <v>16</v>
      </c>
      <c r="J1506" t="s">
        <v>1525</v>
      </c>
      <c r="L1506" t="s">
        <v>18</v>
      </c>
      <c r="M1506" t="s">
        <v>2847</v>
      </c>
    </row>
    <row r="1507" spans="2:13" x14ac:dyDescent="0.25">
      <c r="B1507" t="s">
        <v>2845</v>
      </c>
      <c r="C1507">
        <v>17105301</v>
      </c>
      <c r="D1507" t="str">
        <f>"4630021680514"</f>
        <v>4630021680514</v>
      </c>
      <c r="E1507" t="s">
        <v>2850</v>
      </c>
      <c r="F1507" t="s">
        <v>379</v>
      </c>
      <c r="G1507">
        <v>1</v>
      </c>
      <c r="H1507" t="s">
        <v>18</v>
      </c>
      <c r="I1507" t="s">
        <v>16</v>
      </c>
      <c r="J1507" t="s">
        <v>1525</v>
      </c>
      <c r="L1507" t="s">
        <v>18</v>
      </c>
      <c r="M1507" t="s">
        <v>2847</v>
      </c>
    </row>
    <row r="1508" spans="2:13" x14ac:dyDescent="0.25">
      <c r="B1508" t="s">
        <v>2845</v>
      </c>
      <c r="C1508">
        <v>17105319</v>
      </c>
      <c r="D1508" t="str">
        <f>"4630021680521"</f>
        <v>4630021680521</v>
      </c>
      <c r="E1508" t="s">
        <v>2851</v>
      </c>
      <c r="F1508" t="s">
        <v>973</v>
      </c>
      <c r="G1508">
        <v>1</v>
      </c>
      <c r="H1508" t="s">
        <v>18</v>
      </c>
      <c r="I1508" t="s">
        <v>16</v>
      </c>
      <c r="J1508" t="s">
        <v>1525</v>
      </c>
      <c r="L1508" t="s">
        <v>18</v>
      </c>
      <c r="M1508" t="s">
        <v>2847</v>
      </c>
    </row>
    <row r="1509" spans="2:13" x14ac:dyDescent="0.25">
      <c r="B1509" t="s">
        <v>2845</v>
      </c>
      <c r="C1509">
        <v>17185558</v>
      </c>
      <c r="D1509" t="str">
        <f>"4607134411496"</f>
        <v>4607134411496</v>
      </c>
      <c r="E1509" t="s">
        <v>2852</v>
      </c>
      <c r="F1509" t="s">
        <v>2853</v>
      </c>
      <c r="G1509">
        <v>1</v>
      </c>
      <c r="H1509" t="s">
        <v>18</v>
      </c>
      <c r="I1509" t="s">
        <v>16</v>
      </c>
      <c r="J1509" t="s">
        <v>1525</v>
      </c>
      <c r="L1509" t="s">
        <v>18</v>
      </c>
      <c r="M1509" t="s">
        <v>2257</v>
      </c>
    </row>
    <row r="1510" spans="2:13" x14ac:dyDescent="0.25">
      <c r="B1510" t="s">
        <v>2854</v>
      </c>
      <c r="C1510">
        <v>12921771</v>
      </c>
      <c r="D1510" t="str">
        <f>"6908339400772"</f>
        <v>6908339400772</v>
      </c>
      <c r="E1510" t="s">
        <v>2855</v>
      </c>
      <c r="F1510" t="s">
        <v>1531</v>
      </c>
      <c r="G1510">
        <v>1</v>
      </c>
      <c r="H1510" t="s">
        <v>18</v>
      </c>
      <c r="I1510" t="s">
        <v>16</v>
      </c>
      <c r="J1510" t="s">
        <v>2856</v>
      </c>
      <c r="L1510" t="s">
        <v>18</v>
      </c>
      <c r="M1510" t="s">
        <v>2565</v>
      </c>
    </row>
    <row r="1511" spans="2:13" x14ac:dyDescent="0.25">
      <c r="B1511" t="s">
        <v>2854</v>
      </c>
      <c r="C1511">
        <v>12922379</v>
      </c>
      <c r="D1511" t="str">
        <f>"6908331400862"</f>
        <v>6908331400862</v>
      </c>
      <c r="E1511" t="s">
        <v>2857</v>
      </c>
      <c r="F1511" t="s">
        <v>861</v>
      </c>
      <c r="G1511">
        <v>1</v>
      </c>
      <c r="H1511" t="s">
        <v>18</v>
      </c>
      <c r="I1511" t="s">
        <v>16</v>
      </c>
      <c r="J1511" t="s">
        <v>2856</v>
      </c>
      <c r="L1511" t="s">
        <v>18</v>
      </c>
      <c r="M1511" t="s">
        <v>2565</v>
      </c>
    </row>
    <row r="1512" spans="2:13" x14ac:dyDescent="0.25">
      <c r="B1512" t="s">
        <v>2854</v>
      </c>
      <c r="C1512">
        <v>13051528</v>
      </c>
      <c r="D1512" t="str">
        <f>"3276200249809"</f>
        <v>3276200249809</v>
      </c>
      <c r="E1512" t="s">
        <v>2858</v>
      </c>
      <c r="F1512" t="s">
        <v>858</v>
      </c>
      <c r="G1512">
        <v>1</v>
      </c>
      <c r="H1512" t="s">
        <v>18</v>
      </c>
      <c r="I1512" t="s">
        <v>16</v>
      </c>
      <c r="J1512" t="s">
        <v>17</v>
      </c>
      <c r="L1512" t="s">
        <v>18</v>
      </c>
      <c r="M1512" t="s">
        <v>2314</v>
      </c>
    </row>
    <row r="1513" spans="2:13" x14ac:dyDescent="0.25">
      <c r="B1513" t="s">
        <v>2854</v>
      </c>
      <c r="C1513">
        <v>13051552</v>
      </c>
      <c r="D1513" t="str">
        <f>"3276200249649"</f>
        <v>3276200249649</v>
      </c>
      <c r="E1513" t="s">
        <v>2859</v>
      </c>
      <c r="F1513" t="s">
        <v>442</v>
      </c>
      <c r="G1513">
        <v>1</v>
      </c>
      <c r="H1513" t="s">
        <v>18</v>
      </c>
      <c r="I1513" t="s">
        <v>16</v>
      </c>
      <c r="J1513" t="s">
        <v>17</v>
      </c>
      <c r="L1513" t="s">
        <v>18</v>
      </c>
      <c r="M1513" t="s">
        <v>2314</v>
      </c>
    </row>
    <row r="1514" spans="2:13" x14ac:dyDescent="0.25">
      <c r="B1514" t="s">
        <v>2854</v>
      </c>
      <c r="C1514">
        <v>13051560</v>
      </c>
      <c r="D1514" t="str">
        <f>"3276200249687"</f>
        <v>3276200249687</v>
      </c>
      <c r="E1514" t="s">
        <v>2860</v>
      </c>
      <c r="F1514" t="s">
        <v>2185</v>
      </c>
      <c r="G1514">
        <v>1</v>
      </c>
      <c r="H1514" t="s">
        <v>18</v>
      </c>
      <c r="I1514" t="s">
        <v>16</v>
      </c>
      <c r="J1514" t="s">
        <v>17</v>
      </c>
      <c r="L1514" t="s">
        <v>18</v>
      </c>
      <c r="M1514" t="s">
        <v>2314</v>
      </c>
    </row>
    <row r="1515" spans="2:13" x14ac:dyDescent="0.25">
      <c r="B1515" t="s">
        <v>2854</v>
      </c>
      <c r="C1515">
        <v>13051608</v>
      </c>
      <c r="D1515" t="str">
        <f>"3276200249922"</f>
        <v>3276200249922</v>
      </c>
      <c r="E1515" t="s">
        <v>2861</v>
      </c>
      <c r="F1515" t="s">
        <v>1224</v>
      </c>
      <c r="G1515">
        <v>1</v>
      </c>
      <c r="H1515" t="s">
        <v>18</v>
      </c>
      <c r="I1515" t="s">
        <v>16</v>
      </c>
      <c r="J1515" t="s">
        <v>17</v>
      </c>
      <c r="L1515" t="s">
        <v>18</v>
      </c>
      <c r="M1515" t="s">
        <v>1650</v>
      </c>
    </row>
    <row r="1516" spans="2:13" x14ac:dyDescent="0.25">
      <c r="B1516" t="s">
        <v>2854</v>
      </c>
      <c r="C1516">
        <v>14052338</v>
      </c>
      <c r="D1516" t="str">
        <f>"4620765857310"</f>
        <v>4620765857310</v>
      </c>
      <c r="E1516" t="s">
        <v>2862</v>
      </c>
      <c r="F1516" t="s">
        <v>60</v>
      </c>
      <c r="G1516">
        <v>1</v>
      </c>
      <c r="H1516" t="s">
        <v>18</v>
      </c>
      <c r="I1516" t="s">
        <v>16</v>
      </c>
      <c r="J1516" t="s">
        <v>854</v>
      </c>
      <c r="L1516" t="s">
        <v>18</v>
      </c>
      <c r="M1516" t="s">
        <v>2863</v>
      </c>
    </row>
    <row r="1517" spans="2:13" x14ac:dyDescent="0.25">
      <c r="B1517" t="s">
        <v>2854</v>
      </c>
      <c r="C1517">
        <v>14287410</v>
      </c>
      <c r="D1517" t="str">
        <f>"3276004691002"</f>
        <v>3276004691002</v>
      </c>
      <c r="E1517" t="s">
        <v>2864</v>
      </c>
      <c r="F1517" t="s">
        <v>40</v>
      </c>
      <c r="G1517">
        <v>1</v>
      </c>
      <c r="H1517" t="s">
        <v>18</v>
      </c>
      <c r="I1517" t="s">
        <v>16</v>
      </c>
      <c r="J1517" t="s">
        <v>17</v>
      </c>
      <c r="L1517" t="s">
        <v>18</v>
      </c>
      <c r="M1517" t="s">
        <v>2345</v>
      </c>
    </row>
    <row r="1518" spans="2:13" x14ac:dyDescent="0.25">
      <c r="B1518" t="s">
        <v>2854</v>
      </c>
      <c r="C1518">
        <v>14287428</v>
      </c>
      <c r="D1518" t="str">
        <f>"3276004690920"</f>
        <v>3276004690920</v>
      </c>
      <c r="E1518" t="s">
        <v>2865</v>
      </c>
      <c r="F1518" t="s">
        <v>1960</v>
      </c>
      <c r="G1518">
        <v>1</v>
      </c>
      <c r="H1518" t="s">
        <v>18</v>
      </c>
      <c r="I1518" t="s">
        <v>16</v>
      </c>
      <c r="J1518" t="s">
        <v>17</v>
      </c>
      <c r="L1518" t="s">
        <v>18</v>
      </c>
      <c r="M1518" t="s">
        <v>2345</v>
      </c>
    </row>
    <row r="1519" spans="2:13" x14ac:dyDescent="0.25">
      <c r="B1519" t="s">
        <v>2854</v>
      </c>
      <c r="C1519">
        <v>14287436</v>
      </c>
      <c r="D1519" t="str">
        <f>"3276004690807"</f>
        <v>3276004690807</v>
      </c>
      <c r="E1519" t="s">
        <v>2866</v>
      </c>
      <c r="F1519" t="s">
        <v>1418</v>
      </c>
      <c r="G1519">
        <v>1</v>
      </c>
      <c r="H1519" t="s">
        <v>18</v>
      </c>
      <c r="I1519" t="s">
        <v>16</v>
      </c>
      <c r="J1519" t="s">
        <v>17</v>
      </c>
      <c r="L1519" t="s">
        <v>18</v>
      </c>
      <c r="M1519" t="s">
        <v>2345</v>
      </c>
    </row>
    <row r="1520" spans="2:13" x14ac:dyDescent="0.25">
      <c r="B1520" t="s">
        <v>2854</v>
      </c>
      <c r="C1520">
        <v>14287444</v>
      </c>
      <c r="D1520" t="str">
        <f>"3276004690760"</f>
        <v>3276004690760</v>
      </c>
      <c r="E1520" t="s">
        <v>2867</v>
      </c>
      <c r="F1520" t="s">
        <v>525</v>
      </c>
      <c r="G1520">
        <v>1</v>
      </c>
      <c r="H1520" t="s">
        <v>18</v>
      </c>
      <c r="I1520" t="s">
        <v>16</v>
      </c>
      <c r="J1520" t="s">
        <v>17</v>
      </c>
      <c r="L1520" t="s">
        <v>18</v>
      </c>
      <c r="M1520" t="s">
        <v>2345</v>
      </c>
    </row>
    <row r="1521" spans="2:13" x14ac:dyDescent="0.25">
      <c r="B1521" t="s">
        <v>2854</v>
      </c>
      <c r="C1521">
        <v>14287567</v>
      </c>
      <c r="D1521" t="str">
        <f>"3276004698919"</f>
        <v>3276004698919</v>
      </c>
      <c r="E1521" t="s">
        <v>2868</v>
      </c>
      <c r="F1521" t="s">
        <v>2869</v>
      </c>
      <c r="G1521">
        <v>1</v>
      </c>
      <c r="H1521" t="s">
        <v>18</v>
      </c>
      <c r="I1521" t="s">
        <v>16</v>
      </c>
      <c r="J1521" t="s">
        <v>17</v>
      </c>
      <c r="L1521" t="s">
        <v>18</v>
      </c>
      <c r="M1521" t="s">
        <v>1488</v>
      </c>
    </row>
    <row r="1522" spans="2:13" x14ac:dyDescent="0.25">
      <c r="B1522" t="s">
        <v>2854</v>
      </c>
      <c r="C1522">
        <v>14868329</v>
      </c>
      <c r="D1522" t="str">
        <f>"4670009597441"</f>
        <v>4670009597441</v>
      </c>
      <c r="E1522" t="s">
        <v>2870</v>
      </c>
      <c r="F1522" t="s">
        <v>1239</v>
      </c>
      <c r="G1522">
        <v>1</v>
      </c>
      <c r="H1522" t="s">
        <v>18</v>
      </c>
      <c r="I1522" t="s">
        <v>16</v>
      </c>
      <c r="J1522" t="s">
        <v>1556</v>
      </c>
      <c r="L1522" t="s">
        <v>18</v>
      </c>
      <c r="M1522" t="s">
        <v>2871</v>
      </c>
    </row>
    <row r="1523" spans="2:13" x14ac:dyDescent="0.25">
      <c r="B1523" t="s">
        <v>2854</v>
      </c>
      <c r="C1523">
        <v>15077123</v>
      </c>
      <c r="D1523" t="str">
        <f>"3276004753854"</f>
        <v>3276004753854</v>
      </c>
      <c r="E1523" t="s">
        <v>2872</v>
      </c>
      <c r="F1523" t="s">
        <v>1558</v>
      </c>
      <c r="G1523">
        <v>0</v>
      </c>
      <c r="H1523" t="s">
        <v>18</v>
      </c>
      <c r="I1523" t="s">
        <v>16</v>
      </c>
      <c r="J1523" t="s">
        <v>28</v>
      </c>
      <c r="L1523" t="s">
        <v>18</v>
      </c>
      <c r="M1523" t="s">
        <v>2374</v>
      </c>
    </row>
    <row r="1524" spans="2:13" x14ac:dyDescent="0.25">
      <c r="B1524" t="s">
        <v>2854</v>
      </c>
      <c r="C1524">
        <v>15077131</v>
      </c>
      <c r="D1524" t="str">
        <f>"3276004692641"</f>
        <v>3276004692641</v>
      </c>
      <c r="E1524" t="s">
        <v>2873</v>
      </c>
      <c r="F1524" t="s">
        <v>410</v>
      </c>
      <c r="G1524">
        <v>1</v>
      </c>
      <c r="H1524" t="s">
        <v>18</v>
      </c>
      <c r="I1524" t="s">
        <v>16</v>
      </c>
      <c r="J1524" t="s">
        <v>28</v>
      </c>
      <c r="L1524" t="s">
        <v>18</v>
      </c>
      <c r="M1524" t="s">
        <v>2525</v>
      </c>
    </row>
    <row r="1525" spans="2:13" x14ac:dyDescent="0.25">
      <c r="B1525" t="s">
        <v>2854</v>
      </c>
      <c r="C1525">
        <v>15079292</v>
      </c>
      <c r="D1525" t="str">
        <f>"3276005185869"</f>
        <v>3276005185869</v>
      </c>
      <c r="E1525" t="s">
        <v>2874</v>
      </c>
      <c r="F1525" t="s">
        <v>194</v>
      </c>
      <c r="G1525">
        <v>1</v>
      </c>
      <c r="H1525" t="s">
        <v>18</v>
      </c>
      <c r="I1525" t="s">
        <v>16</v>
      </c>
      <c r="J1525" t="s">
        <v>17</v>
      </c>
      <c r="L1525" t="s">
        <v>18</v>
      </c>
      <c r="M1525" t="s">
        <v>2875</v>
      </c>
    </row>
    <row r="1526" spans="2:13" x14ac:dyDescent="0.25">
      <c r="B1526" t="s">
        <v>2854</v>
      </c>
      <c r="C1526">
        <v>15083996</v>
      </c>
      <c r="D1526" t="str">
        <f>"3276005189300"</f>
        <v>3276005189300</v>
      </c>
      <c r="E1526" t="s">
        <v>2876</v>
      </c>
      <c r="F1526" t="s">
        <v>185</v>
      </c>
      <c r="G1526">
        <v>0</v>
      </c>
      <c r="H1526" t="s">
        <v>18</v>
      </c>
      <c r="I1526" t="s">
        <v>16</v>
      </c>
      <c r="J1526" t="s">
        <v>28</v>
      </c>
      <c r="L1526" t="s">
        <v>18</v>
      </c>
      <c r="M1526" t="s">
        <v>893</v>
      </c>
    </row>
    <row r="1527" spans="2:13" x14ac:dyDescent="0.25">
      <c r="B1527" t="s">
        <v>2854</v>
      </c>
      <c r="C1527">
        <v>15084008</v>
      </c>
      <c r="D1527" t="str">
        <f>"3276005189263"</f>
        <v>3276005189263</v>
      </c>
      <c r="E1527" t="s">
        <v>2877</v>
      </c>
      <c r="F1527" t="s">
        <v>1561</v>
      </c>
      <c r="G1527">
        <v>1</v>
      </c>
      <c r="H1527" t="s">
        <v>18</v>
      </c>
      <c r="I1527" t="s">
        <v>16</v>
      </c>
      <c r="J1527" t="s">
        <v>28</v>
      </c>
      <c r="L1527" t="s">
        <v>18</v>
      </c>
      <c r="M1527" t="s">
        <v>2345</v>
      </c>
    </row>
    <row r="1528" spans="2:13" x14ac:dyDescent="0.25">
      <c r="B1528" t="s">
        <v>2854</v>
      </c>
      <c r="C1528">
        <v>15141295</v>
      </c>
      <c r="D1528" t="str">
        <f>"3276005216426"</f>
        <v>3276005216426</v>
      </c>
      <c r="E1528" t="s">
        <v>2878</v>
      </c>
      <c r="F1528" t="s">
        <v>247</v>
      </c>
      <c r="G1528">
        <v>1</v>
      </c>
      <c r="H1528" t="s">
        <v>18</v>
      </c>
      <c r="I1528" t="s">
        <v>16</v>
      </c>
      <c r="J1528" t="s">
        <v>17</v>
      </c>
      <c r="L1528" t="s">
        <v>18</v>
      </c>
      <c r="M1528" t="s">
        <v>2345</v>
      </c>
    </row>
    <row r="1529" spans="2:13" x14ac:dyDescent="0.25">
      <c r="B1529" t="s">
        <v>2854</v>
      </c>
      <c r="C1529">
        <v>15141308</v>
      </c>
      <c r="D1529" t="str">
        <f>"3276005216389"</f>
        <v>3276005216389</v>
      </c>
      <c r="E1529" t="s">
        <v>2879</v>
      </c>
      <c r="F1529" t="s">
        <v>1934</v>
      </c>
      <c r="G1529">
        <v>1</v>
      </c>
      <c r="H1529" t="s">
        <v>18</v>
      </c>
      <c r="I1529" t="s">
        <v>16</v>
      </c>
      <c r="J1529" t="s">
        <v>17</v>
      </c>
      <c r="L1529" t="s">
        <v>18</v>
      </c>
      <c r="M1529" t="s">
        <v>2345</v>
      </c>
    </row>
    <row r="1530" spans="2:13" x14ac:dyDescent="0.25">
      <c r="B1530" t="s">
        <v>2854</v>
      </c>
      <c r="C1530">
        <v>15141316</v>
      </c>
      <c r="D1530" t="str">
        <f>"3276005216341"</f>
        <v>3276005216341</v>
      </c>
      <c r="E1530" t="s">
        <v>2880</v>
      </c>
      <c r="F1530" t="s">
        <v>1558</v>
      </c>
      <c r="G1530">
        <v>1</v>
      </c>
      <c r="H1530" t="s">
        <v>18</v>
      </c>
      <c r="I1530" t="s">
        <v>16</v>
      </c>
      <c r="J1530" t="s">
        <v>17</v>
      </c>
      <c r="L1530" t="s">
        <v>18</v>
      </c>
      <c r="M1530" t="s">
        <v>2345</v>
      </c>
    </row>
    <row r="1531" spans="2:13" x14ac:dyDescent="0.25">
      <c r="B1531" t="s">
        <v>2854</v>
      </c>
      <c r="C1531">
        <v>15467631</v>
      </c>
      <c r="D1531" t="str">
        <f>"4630008638033"</f>
        <v>4630008638033</v>
      </c>
      <c r="E1531" t="s">
        <v>2881</v>
      </c>
      <c r="F1531" t="s">
        <v>114</v>
      </c>
      <c r="G1531">
        <v>1</v>
      </c>
      <c r="H1531" t="s">
        <v>18</v>
      </c>
      <c r="I1531" t="s">
        <v>16</v>
      </c>
      <c r="J1531" t="s">
        <v>2483</v>
      </c>
      <c r="L1531" t="s">
        <v>18</v>
      </c>
      <c r="M1531" t="s">
        <v>2432</v>
      </c>
    </row>
    <row r="1532" spans="2:13" x14ac:dyDescent="0.25">
      <c r="B1532" t="s">
        <v>2854</v>
      </c>
      <c r="C1532">
        <v>15467640</v>
      </c>
      <c r="D1532" t="str">
        <f>"4630008638040"</f>
        <v>4630008638040</v>
      </c>
      <c r="E1532" t="s">
        <v>2882</v>
      </c>
      <c r="F1532" t="s">
        <v>525</v>
      </c>
      <c r="G1532">
        <v>1</v>
      </c>
      <c r="H1532" t="s">
        <v>18</v>
      </c>
      <c r="I1532" t="s">
        <v>16</v>
      </c>
      <c r="J1532" t="s">
        <v>2483</v>
      </c>
      <c r="L1532" t="s">
        <v>18</v>
      </c>
      <c r="M1532" t="s">
        <v>2432</v>
      </c>
    </row>
    <row r="1533" spans="2:13" x14ac:dyDescent="0.25">
      <c r="B1533" t="s">
        <v>2854</v>
      </c>
      <c r="C1533">
        <v>15467658</v>
      </c>
      <c r="D1533" t="str">
        <f>"4630008639054"</f>
        <v>4630008639054</v>
      </c>
      <c r="E1533" t="s">
        <v>2883</v>
      </c>
      <c r="F1533" t="s">
        <v>425</v>
      </c>
      <c r="G1533">
        <v>1</v>
      </c>
      <c r="H1533" t="s">
        <v>18</v>
      </c>
      <c r="I1533" t="s">
        <v>16</v>
      </c>
      <c r="J1533" t="s">
        <v>2483</v>
      </c>
      <c r="L1533" t="s">
        <v>18</v>
      </c>
      <c r="M1533" t="s">
        <v>2432</v>
      </c>
    </row>
    <row r="1534" spans="2:13" x14ac:dyDescent="0.25">
      <c r="B1534" t="s">
        <v>2854</v>
      </c>
      <c r="C1534">
        <v>15467666</v>
      </c>
      <c r="D1534" t="str">
        <f>"4630008639061"</f>
        <v>4630008639061</v>
      </c>
      <c r="E1534" t="s">
        <v>2884</v>
      </c>
      <c r="F1534" t="s">
        <v>242</v>
      </c>
      <c r="G1534">
        <v>1</v>
      </c>
      <c r="H1534" t="s">
        <v>18</v>
      </c>
      <c r="I1534" t="s">
        <v>16</v>
      </c>
      <c r="J1534" t="s">
        <v>2483</v>
      </c>
      <c r="L1534" t="s">
        <v>18</v>
      </c>
      <c r="M1534" t="s">
        <v>2432</v>
      </c>
    </row>
    <row r="1535" spans="2:13" x14ac:dyDescent="0.25">
      <c r="B1535" t="s">
        <v>2854</v>
      </c>
      <c r="C1535">
        <v>15467674</v>
      </c>
      <c r="D1535" t="str">
        <f>"4630008639078"</f>
        <v>4630008639078</v>
      </c>
      <c r="E1535" t="s">
        <v>2885</v>
      </c>
      <c r="F1535" t="s">
        <v>114</v>
      </c>
      <c r="G1535">
        <v>1</v>
      </c>
      <c r="H1535" t="s">
        <v>18</v>
      </c>
      <c r="I1535" t="s">
        <v>16</v>
      </c>
      <c r="J1535" t="s">
        <v>2483</v>
      </c>
      <c r="L1535" t="s">
        <v>18</v>
      </c>
      <c r="M1535" t="s">
        <v>2432</v>
      </c>
    </row>
    <row r="1536" spans="2:13" x14ac:dyDescent="0.25">
      <c r="B1536" t="s">
        <v>2854</v>
      </c>
      <c r="C1536">
        <v>15467682</v>
      </c>
      <c r="D1536" t="str">
        <f>"4630008638057"</f>
        <v>4630008638057</v>
      </c>
      <c r="E1536" t="s">
        <v>2886</v>
      </c>
      <c r="F1536" t="s">
        <v>971</v>
      </c>
      <c r="G1536">
        <v>1</v>
      </c>
      <c r="H1536" t="s">
        <v>18</v>
      </c>
      <c r="I1536" t="s">
        <v>16</v>
      </c>
      <c r="J1536" t="s">
        <v>2483</v>
      </c>
      <c r="L1536" t="s">
        <v>18</v>
      </c>
      <c r="M1536" t="s">
        <v>2432</v>
      </c>
    </row>
    <row r="1537" spans="2:13" x14ac:dyDescent="0.25">
      <c r="B1537" t="s">
        <v>2854</v>
      </c>
      <c r="C1537">
        <v>15467691</v>
      </c>
      <c r="D1537" t="str">
        <f>"4630008638064"</f>
        <v>4630008638064</v>
      </c>
      <c r="E1537" t="s">
        <v>2887</v>
      </c>
      <c r="F1537" t="s">
        <v>307</v>
      </c>
      <c r="G1537">
        <v>1</v>
      </c>
      <c r="H1537" t="s">
        <v>18</v>
      </c>
      <c r="I1537" t="s">
        <v>16</v>
      </c>
      <c r="J1537" t="s">
        <v>2483</v>
      </c>
      <c r="L1537" t="s">
        <v>18</v>
      </c>
      <c r="M1537" t="s">
        <v>2432</v>
      </c>
    </row>
    <row r="1538" spans="2:13" x14ac:dyDescent="0.25">
      <c r="B1538" t="s">
        <v>2854</v>
      </c>
      <c r="C1538">
        <v>15499828</v>
      </c>
      <c r="D1538" t="str">
        <f>"4650062702372"</f>
        <v>4650062702372</v>
      </c>
      <c r="E1538" t="s">
        <v>2888</v>
      </c>
      <c r="F1538" t="s">
        <v>310</v>
      </c>
      <c r="G1538">
        <v>1</v>
      </c>
      <c r="H1538" t="s">
        <v>18</v>
      </c>
      <c r="I1538" t="s">
        <v>16</v>
      </c>
      <c r="J1538" t="s">
        <v>1571</v>
      </c>
      <c r="L1538" t="s">
        <v>18</v>
      </c>
      <c r="M1538" t="s">
        <v>795</v>
      </c>
    </row>
    <row r="1539" spans="2:13" x14ac:dyDescent="0.25">
      <c r="B1539" t="s">
        <v>2854</v>
      </c>
      <c r="C1539">
        <v>15499836</v>
      </c>
      <c r="D1539" t="str">
        <f>"4650062702402"</f>
        <v>4650062702402</v>
      </c>
      <c r="E1539" t="s">
        <v>2889</v>
      </c>
      <c r="F1539" t="s">
        <v>491</v>
      </c>
      <c r="G1539">
        <v>1</v>
      </c>
      <c r="H1539" t="s">
        <v>18</v>
      </c>
      <c r="I1539" t="s">
        <v>16</v>
      </c>
      <c r="J1539" t="s">
        <v>1571</v>
      </c>
      <c r="L1539" t="s">
        <v>18</v>
      </c>
      <c r="M1539" t="s">
        <v>795</v>
      </c>
    </row>
    <row r="1540" spans="2:13" x14ac:dyDescent="0.25">
      <c r="B1540" t="s">
        <v>2854</v>
      </c>
      <c r="C1540">
        <v>15499844</v>
      </c>
      <c r="D1540" t="str">
        <f>"4650062702365"</f>
        <v>4650062702365</v>
      </c>
      <c r="E1540" t="s">
        <v>2890</v>
      </c>
      <c r="F1540" t="s">
        <v>174</v>
      </c>
      <c r="G1540">
        <v>1</v>
      </c>
      <c r="H1540" t="s">
        <v>18</v>
      </c>
      <c r="I1540" t="s">
        <v>16</v>
      </c>
      <c r="J1540" t="s">
        <v>1571</v>
      </c>
      <c r="L1540" t="s">
        <v>18</v>
      </c>
      <c r="M1540" t="s">
        <v>795</v>
      </c>
    </row>
    <row r="1541" spans="2:13" x14ac:dyDescent="0.25">
      <c r="B1541" t="s">
        <v>2854</v>
      </c>
      <c r="C1541">
        <v>15499852</v>
      </c>
      <c r="D1541" t="str">
        <f>"4650062702396"</f>
        <v>4650062702396</v>
      </c>
      <c r="E1541" t="s">
        <v>2891</v>
      </c>
      <c r="F1541" t="s">
        <v>491</v>
      </c>
      <c r="G1541">
        <v>1</v>
      </c>
      <c r="H1541" t="s">
        <v>18</v>
      </c>
      <c r="I1541" t="s">
        <v>16</v>
      </c>
      <c r="J1541" t="s">
        <v>1571</v>
      </c>
      <c r="L1541" t="s">
        <v>18</v>
      </c>
      <c r="M1541" t="s">
        <v>795</v>
      </c>
    </row>
    <row r="1542" spans="2:13" x14ac:dyDescent="0.25">
      <c r="B1542" t="s">
        <v>2854</v>
      </c>
      <c r="C1542">
        <v>15499861</v>
      </c>
      <c r="D1542" t="str">
        <f>"4650062702419"</f>
        <v>4650062702419</v>
      </c>
      <c r="E1542" t="s">
        <v>2892</v>
      </c>
      <c r="F1542" t="s">
        <v>1025</v>
      </c>
      <c r="G1542">
        <v>1</v>
      </c>
      <c r="H1542" t="s">
        <v>18</v>
      </c>
      <c r="I1542" t="s">
        <v>16</v>
      </c>
      <c r="J1542" t="s">
        <v>1571</v>
      </c>
      <c r="L1542" t="s">
        <v>18</v>
      </c>
      <c r="M1542" t="s">
        <v>795</v>
      </c>
    </row>
    <row r="1543" spans="2:13" x14ac:dyDescent="0.25">
      <c r="B1543" t="s">
        <v>2854</v>
      </c>
      <c r="C1543">
        <v>15499879</v>
      </c>
      <c r="D1543" t="str">
        <f>"4650062702389"</f>
        <v>4650062702389</v>
      </c>
      <c r="E1543" t="s">
        <v>2893</v>
      </c>
      <c r="F1543" t="s">
        <v>823</v>
      </c>
      <c r="G1543">
        <v>1</v>
      </c>
      <c r="H1543" t="s">
        <v>18</v>
      </c>
      <c r="I1543" t="s">
        <v>16</v>
      </c>
      <c r="J1543" t="s">
        <v>1571</v>
      </c>
      <c r="L1543" t="s">
        <v>18</v>
      </c>
      <c r="M1543" t="s">
        <v>795</v>
      </c>
    </row>
    <row r="1544" spans="2:13" x14ac:dyDescent="0.25">
      <c r="B1544" t="s">
        <v>2854</v>
      </c>
      <c r="C1544">
        <v>15553345</v>
      </c>
      <c r="D1544" t="str">
        <f>"4627091393376"</f>
        <v>4627091393376</v>
      </c>
      <c r="E1544" t="s">
        <v>2894</v>
      </c>
      <c r="F1544" t="s">
        <v>43</v>
      </c>
      <c r="G1544">
        <v>1</v>
      </c>
      <c r="H1544" t="s">
        <v>18</v>
      </c>
      <c r="I1544" t="s">
        <v>16</v>
      </c>
      <c r="J1544" t="s">
        <v>854</v>
      </c>
      <c r="L1544" t="s">
        <v>18</v>
      </c>
      <c r="M1544" t="s">
        <v>2895</v>
      </c>
    </row>
    <row r="1545" spans="2:13" x14ac:dyDescent="0.25">
      <c r="B1545" t="s">
        <v>2854</v>
      </c>
      <c r="C1545">
        <v>15655632</v>
      </c>
      <c r="D1545" t="str">
        <f>"4670009598530"</f>
        <v>4670009598530</v>
      </c>
      <c r="E1545" t="s">
        <v>2896</v>
      </c>
      <c r="F1545" t="s">
        <v>21</v>
      </c>
      <c r="G1545">
        <v>1</v>
      </c>
      <c r="H1545" t="s">
        <v>18</v>
      </c>
      <c r="I1545" t="s">
        <v>16</v>
      </c>
      <c r="J1545" t="s">
        <v>1556</v>
      </c>
      <c r="L1545" t="s">
        <v>18</v>
      </c>
      <c r="M1545" t="s">
        <v>2897</v>
      </c>
    </row>
    <row r="1546" spans="2:13" x14ac:dyDescent="0.25">
      <c r="B1546" t="s">
        <v>2854</v>
      </c>
      <c r="C1546">
        <v>17211293</v>
      </c>
      <c r="D1546" t="str">
        <f>"4650062703928"</f>
        <v>4650062703928</v>
      </c>
      <c r="E1546" t="s">
        <v>2898</v>
      </c>
      <c r="F1546" t="s">
        <v>1025</v>
      </c>
      <c r="G1546">
        <v>1</v>
      </c>
      <c r="H1546" t="s">
        <v>18</v>
      </c>
      <c r="I1546" t="s">
        <v>16</v>
      </c>
      <c r="J1546" t="s">
        <v>1571</v>
      </c>
      <c r="L1546" t="s">
        <v>18</v>
      </c>
      <c r="M1546" t="s">
        <v>2899</v>
      </c>
    </row>
    <row r="1547" spans="2:13" x14ac:dyDescent="0.25">
      <c r="B1547" t="s">
        <v>2854</v>
      </c>
      <c r="C1547">
        <v>17211306</v>
      </c>
      <c r="D1547" t="str">
        <f>"4650062703898"</f>
        <v>4650062703898</v>
      </c>
      <c r="E1547" t="s">
        <v>2900</v>
      </c>
      <c r="F1547" t="s">
        <v>185</v>
      </c>
      <c r="G1547">
        <v>1</v>
      </c>
      <c r="H1547" t="s">
        <v>18</v>
      </c>
      <c r="I1547" t="s">
        <v>16</v>
      </c>
      <c r="J1547" t="s">
        <v>1571</v>
      </c>
      <c r="L1547" t="s">
        <v>18</v>
      </c>
      <c r="M1547" t="s">
        <v>2899</v>
      </c>
    </row>
    <row r="1548" spans="2:13" x14ac:dyDescent="0.25">
      <c r="B1548" t="s">
        <v>2854</v>
      </c>
      <c r="C1548">
        <v>17211314</v>
      </c>
      <c r="D1548" t="str">
        <f>"4650062703867"</f>
        <v>4650062703867</v>
      </c>
      <c r="E1548" t="s">
        <v>2901</v>
      </c>
      <c r="F1548" t="s">
        <v>114</v>
      </c>
      <c r="G1548">
        <v>1</v>
      </c>
      <c r="H1548" t="s">
        <v>18</v>
      </c>
      <c r="I1548" t="s">
        <v>16</v>
      </c>
      <c r="J1548" t="s">
        <v>1571</v>
      </c>
      <c r="L1548" t="s">
        <v>18</v>
      </c>
      <c r="M1548" t="s">
        <v>2899</v>
      </c>
    </row>
    <row r="1549" spans="2:13" x14ac:dyDescent="0.25">
      <c r="B1549" t="s">
        <v>2854</v>
      </c>
      <c r="C1549">
        <v>17211322</v>
      </c>
      <c r="D1549" t="str">
        <f>"4650062703874"</f>
        <v>4650062703874</v>
      </c>
      <c r="E1549" t="s">
        <v>2902</v>
      </c>
      <c r="F1549" t="s">
        <v>791</v>
      </c>
      <c r="G1549">
        <v>1</v>
      </c>
      <c r="H1549" t="s">
        <v>18</v>
      </c>
      <c r="I1549" t="s">
        <v>16</v>
      </c>
      <c r="J1549" t="s">
        <v>1571</v>
      </c>
      <c r="L1549" t="s">
        <v>18</v>
      </c>
      <c r="M1549" t="s">
        <v>2899</v>
      </c>
    </row>
    <row r="1550" spans="2:13" x14ac:dyDescent="0.25">
      <c r="B1550" t="s">
        <v>2854</v>
      </c>
      <c r="C1550">
        <v>17211331</v>
      </c>
      <c r="D1550" t="str">
        <f>"4650062703904"</f>
        <v>4650062703904</v>
      </c>
      <c r="E1550" t="s">
        <v>2903</v>
      </c>
      <c r="F1550" t="s">
        <v>406</v>
      </c>
      <c r="G1550">
        <v>1</v>
      </c>
      <c r="H1550" t="s">
        <v>18</v>
      </c>
      <c r="I1550" t="s">
        <v>16</v>
      </c>
      <c r="J1550" t="s">
        <v>1571</v>
      </c>
      <c r="L1550" t="s">
        <v>18</v>
      </c>
      <c r="M1550" t="s">
        <v>2899</v>
      </c>
    </row>
    <row r="1551" spans="2:13" x14ac:dyDescent="0.25">
      <c r="B1551" t="s">
        <v>2854</v>
      </c>
      <c r="C1551">
        <v>17211349</v>
      </c>
      <c r="D1551" t="str">
        <f>"4650062703881"</f>
        <v>4650062703881</v>
      </c>
      <c r="E1551" t="s">
        <v>2904</v>
      </c>
      <c r="F1551" t="s">
        <v>242</v>
      </c>
      <c r="G1551">
        <v>1</v>
      </c>
      <c r="H1551" t="s">
        <v>18</v>
      </c>
      <c r="I1551" t="s">
        <v>16</v>
      </c>
      <c r="J1551" t="s">
        <v>1571</v>
      </c>
      <c r="L1551" t="s">
        <v>18</v>
      </c>
      <c r="M1551" t="s">
        <v>2899</v>
      </c>
    </row>
    <row r="1552" spans="2:13" x14ac:dyDescent="0.25">
      <c r="B1552" t="s">
        <v>2854</v>
      </c>
      <c r="C1552">
        <v>17817501</v>
      </c>
      <c r="D1552" t="str">
        <f>"4627112610321"</f>
        <v>4627112610321</v>
      </c>
      <c r="E1552" t="s">
        <v>2905</v>
      </c>
      <c r="F1552" t="s">
        <v>310</v>
      </c>
      <c r="G1552">
        <v>1</v>
      </c>
      <c r="H1552" t="s">
        <v>18</v>
      </c>
      <c r="I1552" t="s">
        <v>16</v>
      </c>
      <c r="J1552" t="s">
        <v>892</v>
      </c>
      <c r="L1552" t="s">
        <v>18</v>
      </c>
      <c r="M1552" t="s">
        <v>2906</v>
      </c>
    </row>
    <row r="1553" spans="2:13" x14ac:dyDescent="0.25">
      <c r="B1553" t="s">
        <v>2854</v>
      </c>
      <c r="C1553">
        <v>17817527</v>
      </c>
      <c r="D1553" t="str">
        <f>"4627112610338"</f>
        <v>4627112610338</v>
      </c>
      <c r="E1553" t="s">
        <v>2907</v>
      </c>
      <c r="F1553" t="s">
        <v>525</v>
      </c>
      <c r="G1553">
        <v>1</v>
      </c>
      <c r="H1553" t="s">
        <v>18</v>
      </c>
      <c r="I1553" t="s">
        <v>16</v>
      </c>
      <c r="J1553" t="s">
        <v>892</v>
      </c>
      <c r="L1553" t="s">
        <v>18</v>
      </c>
      <c r="M1553" t="s">
        <v>2906</v>
      </c>
    </row>
    <row r="1554" spans="2:13" x14ac:dyDescent="0.25">
      <c r="B1554" t="s">
        <v>2854</v>
      </c>
      <c r="C1554">
        <v>17817543</v>
      </c>
      <c r="D1554" t="str">
        <f>"4627112610369"</f>
        <v>4627112610369</v>
      </c>
      <c r="E1554" t="s">
        <v>2908</v>
      </c>
      <c r="F1554" t="s">
        <v>310</v>
      </c>
      <c r="G1554">
        <v>1</v>
      </c>
      <c r="H1554" t="s">
        <v>18</v>
      </c>
      <c r="I1554" t="s">
        <v>16</v>
      </c>
      <c r="J1554" t="s">
        <v>892</v>
      </c>
      <c r="L1554" t="s">
        <v>18</v>
      </c>
      <c r="M1554" t="s">
        <v>2906</v>
      </c>
    </row>
    <row r="1555" spans="2:13" x14ac:dyDescent="0.25">
      <c r="B1555" t="s">
        <v>2854</v>
      </c>
      <c r="C1555">
        <v>17817607</v>
      </c>
      <c r="D1555" t="str">
        <f>"4627112610345"</f>
        <v>4627112610345</v>
      </c>
      <c r="E1555" t="s">
        <v>2909</v>
      </c>
      <c r="F1555" t="s">
        <v>522</v>
      </c>
      <c r="G1555">
        <v>1</v>
      </c>
      <c r="H1555" t="s">
        <v>18</v>
      </c>
      <c r="I1555" t="s">
        <v>16</v>
      </c>
      <c r="J1555" t="s">
        <v>892</v>
      </c>
      <c r="L1555" t="s">
        <v>18</v>
      </c>
      <c r="M1555" t="s">
        <v>2906</v>
      </c>
    </row>
    <row r="1556" spans="2:13" x14ac:dyDescent="0.25">
      <c r="B1556" t="s">
        <v>2854</v>
      </c>
      <c r="C1556">
        <v>17817623</v>
      </c>
      <c r="D1556" t="str">
        <f>"4627112610352"</f>
        <v>4627112610352</v>
      </c>
      <c r="E1556" t="s">
        <v>2910</v>
      </c>
      <c r="F1556" t="s">
        <v>649</v>
      </c>
      <c r="G1556">
        <v>1</v>
      </c>
      <c r="H1556" t="s">
        <v>18</v>
      </c>
      <c r="I1556" t="s">
        <v>16</v>
      </c>
      <c r="J1556" t="s">
        <v>892</v>
      </c>
      <c r="L1556" t="s">
        <v>18</v>
      </c>
      <c r="M1556" t="s">
        <v>2906</v>
      </c>
    </row>
    <row r="1557" spans="2:13" x14ac:dyDescent="0.25">
      <c r="B1557" t="s">
        <v>2854</v>
      </c>
      <c r="C1557">
        <v>17817720</v>
      </c>
      <c r="D1557" t="str">
        <f>"4627112610734"</f>
        <v>4627112610734</v>
      </c>
      <c r="E1557" t="s">
        <v>2911</v>
      </c>
      <c r="F1557" t="s">
        <v>522</v>
      </c>
      <c r="G1557">
        <v>1</v>
      </c>
      <c r="H1557" t="s">
        <v>18</v>
      </c>
      <c r="I1557" t="s">
        <v>16</v>
      </c>
      <c r="J1557" t="s">
        <v>892</v>
      </c>
      <c r="L1557" t="s">
        <v>18</v>
      </c>
      <c r="M1557" t="s">
        <v>361</v>
      </c>
    </row>
    <row r="1558" spans="2:13" x14ac:dyDescent="0.25">
      <c r="B1558" t="s">
        <v>2854</v>
      </c>
      <c r="C1558">
        <v>17817746</v>
      </c>
      <c r="D1558" t="str">
        <f>"4627112610758"</f>
        <v>4627112610758</v>
      </c>
      <c r="E1558" t="s">
        <v>2912</v>
      </c>
      <c r="F1558" t="s">
        <v>2333</v>
      </c>
      <c r="G1558">
        <v>1</v>
      </c>
      <c r="H1558" t="s">
        <v>18</v>
      </c>
      <c r="I1558" t="s">
        <v>16</v>
      </c>
      <c r="J1558" t="s">
        <v>892</v>
      </c>
      <c r="L1558" t="s">
        <v>18</v>
      </c>
      <c r="M1558" t="s">
        <v>361</v>
      </c>
    </row>
    <row r="1559" spans="2:13" x14ac:dyDescent="0.25">
      <c r="B1559" t="s">
        <v>2854</v>
      </c>
      <c r="C1559">
        <v>17942571</v>
      </c>
      <c r="D1559" t="str">
        <f>"4680018980301"</f>
        <v>4680018980301</v>
      </c>
      <c r="E1559" t="s">
        <v>2913</v>
      </c>
      <c r="F1559" t="s">
        <v>1239</v>
      </c>
      <c r="G1559">
        <v>1</v>
      </c>
      <c r="H1559" t="s">
        <v>18</v>
      </c>
      <c r="I1559" t="s">
        <v>16</v>
      </c>
      <c r="J1559" t="s">
        <v>2714</v>
      </c>
      <c r="L1559" t="s">
        <v>18</v>
      </c>
      <c r="M1559" t="s">
        <v>1012</v>
      </c>
    </row>
    <row r="1560" spans="2:13" x14ac:dyDescent="0.25">
      <c r="B1560" t="s">
        <v>2854</v>
      </c>
      <c r="C1560">
        <v>17942580</v>
      </c>
      <c r="D1560" t="str">
        <f>"4680018980318"</f>
        <v>4680018980318</v>
      </c>
      <c r="E1560" t="s">
        <v>2914</v>
      </c>
      <c r="F1560" t="s">
        <v>2267</v>
      </c>
      <c r="G1560">
        <v>1</v>
      </c>
      <c r="H1560" t="s">
        <v>18</v>
      </c>
      <c r="I1560" t="s">
        <v>16</v>
      </c>
      <c r="J1560" t="s">
        <v>2714</v>
      </c>
      <c r="L1560" t="s">
        <v>18</v>
      </c>
      <c r="M1560" t="s">
        <v>1012</v>
      </c>
    </row>
    <row r="1561" spans="2:13" x14ac:dyDescent="0.25">
      <c r="B1561" t="s">
        <v>2854</v>
      </c>
      <c r="C1561">
        <v>17942598</v>
      </c>
      <c r="D1561" t="str">
        <f>"4680018980325"</f>
        <v>4680018980325</v>
      </c>
      <c r="E1561" t="s">
        <v>2915</v>
      </c>
      <c r="F1561" t="s">
        <v>1960</v>
      </c>
      <c r="G1561">
        <v>1</v>
      </c>
      <c r="H1561" t="s">
        <v>18</v>
      </c>
      <c r="I1561" t="s">
        <v>16</v>
      </c>
      <c r="J1561" t="s">
        <v>2714</v>
      </c>
      <c r="L1561" t="s">
        <v>18</v>
      </c>
      <c r="M1561" t="s">
        <v>1012</v>
      </c>
    </row>
    <row r="1562" spans="2:13" x14ac:dyDescent="0.25">
      <c r="B1562" t="s">
        <v>2854</v>
      </c>
      <c r="C1562">
        <v>17942601</v>
      </c>
      <c r="D1562" t="str">
        <f>"4680018980332"</f>
        <v>4680018980332</v>
      </c>
      <c r="E1562" t="s">
        <v>2916</v>
      </c>
      <c r="F1562" t="s">
        <v>34</v>
      </c>
      <c r="G1562">
        <v>1</v>
      </c>
      <c r="H1562" t="s">
        <v>18</v>
      </c>
      <c r="I1562" t="s">
        <v>16</v>
      </c>
      <c r="J1562" t="s">
        <v>2714</v>
      </c>
      <c r="L1562" t="s">
        <v>18</v>
      </c>
      <c r="M1562" t="s">
        <v>2392</v>
      </c>
    </row>
    <row r="1563" spans="2:13" x14ac:dyDescent="0.25">
      <c r="B1563" t="s">
        <v>2854</v>
      </c>
      <c r="C1563">
        <v>18036482</v>
      </c>
      <c r="D1563" t="str">
        <f>"3276000216490"</f>
        <v>3276000216490</v>
      </c>
      <c r="E1563" t="s">
        <v>2917</v>
      </c>
      <c r="F1563" t="s">
        <v>165</v>
      </c>
      <c r="G1563">
        <v>1</v>
      </c>
      <c r="H1563" t="s">
        <v>18</v>
      </c>
      <c r="I1563" t="s">
        <v>16</v>
      </c>
      <c r="J1563" t="s">
        <v>17</v>
      </c>
      <c r="L1563" t="s">
        <v>18</v>
      </c>
      <c r="M1563" t="s">
        <v>890</v>
      </c>
    </row>
    <row r="1564" spans="2:13" x14ac:dyDescent="0.25">
      <c r="B1564" t="s">
        <v>2854</v>
      </c>
      <c r="C1564">
        <v>18036503</v>
      </c>
      <c r="D1564" t="str">
        <f>"3276000216483"</f>
        <v>3276000216483</v>
      </c>
      <c r="E1564" t="s">
        <v>2918</v>
      </c>
      <c r="F1564" t="s">
        <v>2647</v>
      </c>
      <c r="G1564">
        <v>1</v>
      </c>
      <c r="H1564" t="s">
        <v>18</v>
      </c>
      <c r="I1564" t="s">
        <v>16</v>
      </c>
      <c r="J1564" t="s">
        <v>17</v>
      </c>
      <c r="L1564" t="s">
        <v>18</v>
      </c>
      <c r="M1564" t="s">
        <v>890</v>
      </c>
    </row>
    <row r="1565" spans="2:13" x14ac:dyDescent="0.25">
      <c r="B1565" t="s">
        <v>2854</v>
      </c>
      <c r="C1565">
        <v>18042487</v>
      </c>
      <c r="D1565" t="str">
        <f>"4680018341652"</f>
        <v>4680018341652</v>
      </c>
      <c r="E1565" t="s">
        <v>2919</v>
      </c>
      <c r="F1565" t="s">
        <v>31</v>
      </c>
      <c r="G1565">
        <v>1</v>
      </c>
      <c r="H1565" t="s">
        <v>18</v>
      </c>
      <c r="I1565" t="s">
        <v>16</v>
      </c>
      <c r="J1565" t="s">
        <v>1682</v>
      </c>
      <c r="L1565" t="s">
        <v>18</v>
      </c>
      <c r="M1565" t="s">
        <v>2920</v>
      </c>
    </row>
    <row r="1566" spans="2:13" x14ac:dyDescent="0.25">
      <c r="B1566" t="s">
        <v>2854</v>
      </c>
      <c r="C1566">
        <v>18042495</v>
      </c>
      <c r="D1566" t="str">
        <f>"4680018340990"</f>
        <v>4680018340990</v>
      </c>
      <c r="E1566" t="s">
        <v>2921</v>
      </c>
      <c r="F1566" t="s">
        <v>31</v>
      </c>
      <c r="G1566">
        <v>1</v>
      </c>
      <c r="H1566" t="s">
        <v>18</v>
      </c>
      <c r="I1566" t="s">
        <v>16</v>
      </c>
      <c r="J1566" t="s">
        <v>1682</v>
      </c>
      <c r="L1566" t="s">
        <v>18</v>
      </c>
      <c r="M1566" t="s">
        <v>2920</v>
      </c>
    </row>
    <row r="1567" spans="2:13" x14ac:dyDescent="0.25">
      <c r="B1567" t="s">
        <v>2854</v>
      </c>
      <c r="C1567">
        <v>18051631</v>
      </c>
      <c r="D1567" t="str">
        <f>"4627091396490"</f>
        <v>4627091396490</v>
      </c>
      <c r="E1567" t="s">
        <v>2922</v>
      </c>
      <c r="F1567" t="s">
        <v>48</v>
      </c>
      <c r="G1567">
        <v>1</v>
      </c>
      <c r="H1567" t="s">
        <v>18</v>
      </c>
      <c r="I1567" t="s">
        <v>16</v>
      </c>
      <c r="J1567" t="s">
        <v>854</v>
      </c>
      <c r="L1567" t="s">
        <v>18</v>
      </c>
      <c r="M1567" t="s">
        <v>2923</v>
      </c>
    </row>
    <row r="1568" spans="2:13" x14ac:dyDescent="0.25">
      <c r="B1568" t="s">
        <v>2854</v>
      </c>
      <c r="C1568">
        <v>18051658</v>
      </c>
      <c r="D1568" t="str">
        <f>"4627091396513"</f>
        <v>4627091396513</v>
      </c>
      <c r="E1568" t="s">
        <v>2924</v>
      </c>
      <c r="F1568" t="s">
        <v>14</v>
      </c>
      <c r="G1568">
        <v>1</v>
      </c>
      <c r="H1568" t="s">
        <v>18</v>
      </c>
      <c r="I1568" t="s">
        <v>16</v>
      </c>
      <c r="J1568" t="s">
        <v>854</v>
      </c>
      <c r="L1568" t="s">
        <v>18</v>
      </c>
      <c r="M1568" t="s">
        <v>2925</v>
      </c>
    </row>
    <row r="1569" spans="2:13" x14ac:dyDescent="0.25">
      <c r="B1569" t="s">
        <v>2854</v>
      </c>
      <c r="C1569">
        <v>18052482</v>
      </c>
      <c r="D1569" t="str">
        <f>"4680018340075"</f>
        <v>4680018340075</v>
      </c>
      <c r="E1569" t="s">
        <v>2926</v>
      </c>
      <c r="F1569" t="s">
        <v>27</v>
      </c>
      <c r="G1569">
        <v>1</v>
      </c>
      <c r="H1569" t="s">
        <v>18</v>
      </c>
      <c r="I1569" t="s">
        <v>16</v>
      </c>
      <c r="J1569" t="s">
        <v>1682</v>
      </c>
      <c r="L1569" t="s">
        <v>18</v>
      </c>
      <c r="M1569" t="s">
        <v>2616</v>
      </c>
    </row>
    <row r="1570" spans="2:13" x14ac:dyDescent="0.25">
      <c r="B1570" t="s">
        <v>2854</v>
      </c>
      <c r="C1570">
        <v>18052520</v>
      </c>
      <c r="D1570" t="str">
        <f>"4680018340112"</f>
        <v>4680018340112</v>
      </c>
      <c r="E1570" t="s">
        <v>2927</v>
      </c>
      <c r="F1570" t="s">
        <v>43</v>
      </c>
      <c r="G1570">
        <v>1</v>
      </c>
      <c r="H1570" t="s">
        <v>18</v>
      </c>
      <c r="I1570" t="s">
        <v>16</v>
      </c>
      <c r="J1570" t="s">
        <v>1682</v>
      </c>
      <c r="L1570" t="s">
        <v>18</v>
      </c>
      <c r="M1570" t="s">
        <v>2616</v>
      </c>
    </row>
    <row r="1571" spans="2:13" x14ac:dyDescent="0.25">
      <c r="B1571" t="s">
        <v>2854</v>
      </c>
      <c r="C1571">
        <v>18052546</v>
      </c>
      <c r="D1571" t="str">
        <f>"4680018340136"</f>
        <v>4680018340136</v>
      </c>
      <c r="E1571" t="s">
        <v>2928</v>
      </c>
      <c r="F1571" t="s">
        <v>48</v>
      </c>
      <c r="G1571">
        <v>1</v>
      </c>
      <c r="H1571" t="s">
        <v>18</v>
      </c>
      <c r="I1571" t="s">
        <v>16</v>
      </c>
      <c r="J1571" t="s">
        <v>1682</v>
      </c>
      <c r="L1571" t="s">
        <v>18</v>
      </c>
      <c r="M1571" t="s">
        <v>2616</v>
      </c>
    </row>
    <row r="1572" spans="2:13" x14ac:dyDescent="0.25">
      <c r="B1572" t="s">
        <v>2854</v>
      </c>
      <c r="C1572">
        <v>18088979</v>
      </c>
      <c r="D1572" t="str">
        <f>"3276000239413"</f>
        <v>3276000239413</v>
      </c>
      <c r="E1572" t="s">
        <v>2929</v>
      </c>
      <c r="F1572" t="s">
        <v>823</v>
      </c>
      <c r="G1572">
        <v>1</v>
      </c>
      <c r="H1572" t="s">
        <v>18</v>
      </c>
      <c r="I1572" t="s">
        <v>16</v>
      </c>
      <c r="J1572" t="s">
        <v>17</v>
      </c>
      <c r="L1572" t="s">
        <v>18</v>
      </c>
      <c r="M1572" t="s">
        <v>1735</v>
      </c>
    </row>
    <row r="1573" spans="2:13" x14ac:dyDescent="0.25">
      <c r="B1573" t="s">
        <v>2854</v>
      </c>
      <c r="C1573">
        <v>18089023</v>
      </c>
      <c r="D1573" t="str">
        <f>"3276000239406"</f>
        <v>3276000239406</v>
      </c>
      <c r="E1573" t="s">
        <v>2930</v>
      </c>
      <c r="F1573" t="s">
        <v>379</v>
      </c>
      <c r="G1573">
        <v>1</v>
      </c>
      <c r="H1573" t="s">
        <v>18</v>
      </c>
      <c r="I1573" t="s">
        <v>16</v>
      </c>
      <c r="J1573" t="s">
        <v>17</v>
      </c>
      <c r="L1573" t="s">
        <v>18</v>
      </c>
      <c r="M1573" t="s">
        <v>1735</v>
      </c>
    </row>
    <row r="1574" spans="2:13" x14ac:dyDescent="0.25">
      <c r="B1574" t="s">
        <v>2854</v>
      </c>
      <c r="C1574">
        <v>18089091</v>
      </c>
      <c r="D1574" t="str">
        <f>"3276004691842"</f>
        <v>3276004691842</v>
      </c>
      <c r="E1574" t="s">
        <v>2931</v>
      </c>
      <c r="F1574" t="s">
        <v>379</v>
      </c>
      <c r="G1574">
        <v>1</v>
      </c>
      <c r="H1574" t="s">
        <v>18</v>
      </c>
      <c r="I1574" t="s">
        <v>16</v>
      </c>
      <c r="J1574" t="s">
        <v>17</v>
      </c>
      <c r="L1574" t="s">
        <v>18</v>
      </c>
      <c r="M1574" t="s">
        <v>1735</v>
      </c>
    </row>
    <row r="1575" spans="2:13" x14ac:dyDescent="0.25">
      <c r="B1575" t="s">
        <v>2854</v>
      </c>
      <c r="C1575">
        <v>18089103</v>
      </c>
      <c r="D1575" t="str">
        <f>"3276004691804"</f>
        <v>3276004691804</v>
      </c>
      <c r="E1575" t="s">
        <v>2932</v>
      </c>
      <c r="F1575" t="s">
        <v>205</v>
      </c>
      <c r="G1575">
        <v>1</v>
      </c>
      <c r="H1575" t="s">
        <v>18</v>
      </c>
      <c r="I1575" t="s">
        <v>16</v>
      </c>
      <c r="J1575" t="s">
        <v>17</v>
      </c>
      <c r="L1575" t="s">
        <v>18</v>
      </c>
      <c r="M1575" t="s">
        <v>1735</v>
      </c>
    </row>
    <row r="1576" spans="2:13" x14ac:dyDescent="0.25">
      <c r="B1576" t="s">
        <v>2854</v>
      </c>
      <c r="C1576">
        <v>18089111</v>
      </c>
      <c r="D1576" t="str">
        <f>"3276004691767"</f>
        <v>3276004691767</v>
      </c>
      <c r="E1576" t="s">
        <v>2933</v>
      </c>
      <c r="F1576" t="s">
        <v>268</v>
      </c>
      <c r="G1576">
        <v>1</v>
      </c>
      <c r="H1576" t="s">
        <v>18</v>
      </c>
      <c r="I1576" t="s">
        <v>16</v>
      </c>
      <c r="J1576" t="s">
        <v>17</v>
      </c>
      <c r="L1576" t="s">
        <v>18</v>
      </c>
      <c r="M1576" t="s">
        <v>1735</v>
      </c>
    </row>
    <row r="1577" spans="2:13" x14ac:dyDescent="0.25">
      <c r="B1577" t="s">
        <v>2854</v>
      </c>
      <c r="C1577">
        <v>18089120</v>
      </c>
      <c r="D1577" t="str">
        <f>"3276004691729"</f>
        <v>3276004691729</v>
      </c>
      <c r="E1577" t="s">
        <v>2934</v>
      </c>
      <c r="F1577" t="s">
        <v>268</v>
      </c>
      <c r="G1577">
        <v>1</v>
      </c>
      <c r="H1577" t="s">
        <v>18</v>
      </c>
      <c r="I1577" t="s">
        <v>16</v>
      </c>
      <c r="J1577" t="s">
        <v>17</v>
      </c>
      <c r="L1577" t="s">
        <v>18</v>
      </c>
      <c r="M1577" t="s">
        <v>1735</v>
      </c>
    </row>
    <row r="1578" spans="2:13" x14ac:dyDescent="0.25">
      <c r="B1578" t="s">
        <v>2854</v>
      </c>
      <c r="C1578">
        <v>18426835</v>
      </c>
      <c r="D1578" t="str">
        <f>"6915936508046"</f>
        <v>6915936508046</v>
      </c>
      <c r="E1578" t="s">
        <v>2935</v>
      </c>
      <c r="F1578" t="s">
        <v>24</v>
      </c>
      <c r="G1578">
        <v>1</v>
      </c>
      <c r="H1578" t="s">
        <v>18</v>
      </c>
      <c r="I1578" t="s">
        <v>16</v>
      </c>
      <c r="J1578" t="s">
        <v>360</v>
      </c>
      <c r="L1578" t="s">
        <v>18</v>
      </c>
      <c r="M1578" t="s">
        <v>2043</v>
      </c>
    </row>
    <row r="1579" spans="2:13" x14ac:dyDescent="0.25">
      <c r="B1579" t="s">
        <v>2854</v>
      </c>
      <c r="C1579">
        <v>18426843</v>
      </c>
      <c r="D1579" t="str">
        <f>"6915936508039"</f>
        <v>6915936508039</v>
      </c>
      <c r="E1579" t="s">
        <v>2936</v>
      </c>
      <c r="F1579" t="s">
        <v>21</v>
      </c>
      <c r="G1579">
        <v>1</v>
      </c>
      <c r="H1579" t="s">
        <v>18</v>
      </c>
      <c r="I1579" t="s">
        <v>16</v>
      </c>
      <c r="J1579" t="s">
        <v>360</v>
      </c>
      <c r="L1579" t="s">
        <v>18</v>
      </c>
      <c r="M1579" t="s">
        <v>2043</v>
      </c>
    </row>
    <row r="1580" spans="2:13" x14ac:dyDescent="0.25">
      <c r="B1580" t="s">
        <v>2854</v>
      </c>
      <c r="C1580">
        <v>18426851</v>
      </c>
      <c r="D1580" t="str">
        <f>"6915936508022"</f>
        <v>6915936508022</v>
      </c>
      <c r="E1580" t="s">
        <v>2937</v>
      </c>
      <c r="F1580" t="s">
        <v>43</v>
      </c>
      <c r="G1580">
        <v>1</v>
      </c>
      <c r="H1580" t="s">
        <v>18</v>
      </c>
      <c r="I1580" t="s">
        <v>16</v>
      </c>
      <c r="J1580" t="s">
        <v>360</v>
      </c>
      <c r="L1580" t="s">
        <v>18</v>
      </c>
      <c r="M1580" t="s">
        <v>2043</v>
      </c>
    </row>
    <row r="1581" spans="2:13" x14ac:dyDescent="0.25">
      <c r="B1581" t="s">
        <v>2854</v>
      </c>
      <c r="C1581">
        <v>18426860</v>
      </c>
      <c r="D1581" t="str">
        <f>"6915936508015"</f>
        <v>6915936508015</v>
      </c>
      <c r="E1581" t="s">
        <v>2938</v>
      </c>
      <c r="F1581" t="s">
        <v>14</v>
      </c>
      <c r="G1581">
        <v>1</v>
      </c>
      <c r="H1581" t="s">
        <v>18</v>
      </c>
      <c r="I1581" t="s">
        <v>16</v>
      </c>
      <c r="J1581" t="s">
        <v>360</v>
      </c>
      <c r="L1581" t="s">
        <v>18</v>
      </c>
      <c r="M1581" t="s">
        <v>2043</v>
      </c>
    </row>
    <row r="1582" spans="2:13" x14ac:dyDescent="0.25">
      <c r="B1582" t="s">
        <v>2939</v>
      </c>
      <c r="C1582">
        <v>14092911</v>
      </c>
      <c r="D1582" t="str">
        <f>"6925936609049"</f>
        <v>6925936609049</v>
      </c>
      <c r="E1582" t="s">
        <v>2940</v>
      </c>
      <c r="F1582" t="s">
        <v>165</v>
      </c>
      <c r="G1582">
        <v>1</v>
      </c>
      <c r="H1582" t="s">
        <v>18</v>
      </c>
      <c r="I1582" t="s">
        <v>16</v>
      </c>
      <c r="J1582" t="s">
        <v>360</v>
      </c>
      <c r="L1582" t="s">
        <v>18</v>
      </c>
      <c r="M1582" t="s">
        <v>2897</v>
      </c>
    </row>
    <row r="1583" spans="2:13" x14ac:dyDescent="0.25">
      <c r="B1583" t="s">
        <v>2939</v>
      </c>
      <c r="C1583">
        <v>14092938</v>
      </c>
      <c r="D1583" t="str">
        <f>"6925936906049"</f>
        <v>6925936906049</v>
      </c>
      <c r="E1583" t="s">
        <v>2941</v>
      </c>
      <c r="F1583" t="s">
        <v>191</v>
      </c>
      <c r="G1583">
        <v>1</v>
      </c>
      <c r="H1583" t="s">
        <v>18</v>
      </c>
      <c r="I1583" t="s">
        <v>16</v>
      </c>
      <c r="J1583" t="s">
        <v>360</v>
      </c>
      <c r="L1583" t="s">
        <v>18</v>
      </c>
      <c r="M1583" t="s">
        <v>2897</v>
      </c>
    </row>
    <row r="1584" spans="2:13" x14ac:dyDescent="0.25">
      <c r="B1584" t="s">
        <v>2939</v>
      </c>
      <c r="C1584">
        <v>14092962</v>
      </c>
      <c r="D1584" t="str">
        <f>"6925936459064"</f>
        <v>6925936459064</v>
      </c>
      <c r="E1584" t="s">
        <v>2942</v>
      </c>
      <c r="F1584" t="s">
        <v>40</v>
      </c>
      <c r="G1584">
        <v>1</v>
      </c>
      <c r="H1584" t="s">
        <v>18</v>
      </c>
      <c r="I1584" t="s">
        <v>16</v>
      </c>
      <c r="J1584" t="s">
        <v>360</v>
      </c>
      <c r="L1584" t="s">
        <v>18</v>
      </c>
      <c r="M1584" t="s">
        <v>2897</v>
      </c>
    </row>
    <row r="1585" spans="2:13" x14ac:dyDescent="0.25">
      <c r="B1585" t="s">
        <v>2939</v>
      </c>
      <c r="C1585">
        <v>15137376</v>
      </c>
      <c r="D1585" t="str">
        <f>"3276005225435"</f>
        <v>3276005225435</v>
      </c>
      <c r="E1585" t="s">
        <v>2943</v>
      </c>
      <c r="F1585" t="s">
        <v>60</v>
      </c>
      <c r="G1585">
        <v>1</v>
      </c>
      <c r="H1585" t="s">
        <v>18</v>
      </c>
      <c r="I1585" t="s">
        <v>16</v>
      </c>
      <c r="J1585" t="s">
        <v>17</v>
      </c>
      <c r="L1585" t="s">
        <v>18</v>
      </c>
      <c r="M1585" t="s">
        <v>2944</v>
      </c>
    </row>
    <row r="1586" spans="2:13" x14ac:dyDescent="0.25">
      <c r="B1586" t="s">
        <v>2939</v>
      </c>
      <c r="C1586">
        <v>15137384</v>
      </c>
      <c r="D1586" t="str">
        <f>"3276005225398"</f>
        <v>3276005225398</v>
      </c>
      <c r="E1586" t="s">
        <v>2945</v>
      </c>
      <c r="F1586" t="s">
        <v>285</v>
      </c>
      <c r="G1586">
        <v>1</v>
      </c>
      <c r="H1586" t="s">
        <v>18</v>
      </c>
      <c r="I1586" t="s">
        <v>16</v>
      </c>
      <c r="J1586" t="s">
        <v>17</v>
      </c>
      <c r="L1586" t="s">
        <v>18</v>
      </c>
      <c r="M1586" t="s">
        <v>2944</v>
      </c>
    </row>
    <row r="1587" spans="2:13" x14ac:dyDescent="0.25">
      <c r="B1587" t="s">
        <v>2939</v>
      </c>
      <c r="C1587">
        <v>15137392</v>
      </c>
      <c r="D1587" t="str">
        <f>"3276005225350"</f>
        <v>3276005225350</v>
      </c>
      <c r="E1587" t="s">
        <v>2946</v>
      </c>
      <c r="F1587" t="s">
        <v>60</v>
      </c>
      <c r="G1587">
        <v>1</v>
      </c>
      <c r="H1587" t="s">
        <v>18</v>
      </c>
      <c r="I1587" t="s">
        <v>16</v>
      </c>
      <c r="J1587" t="s">
        <v>17</v>
      </c>
      <c r="L1587" t="s">
        <v>18</v>
      </c>
      <c r="M1587" t="s">
        <v>2944</v>
      </c>
    </row>
    <row r="1588" spans="2:13" x14ac:dyDescent="0.25">
      <c r="B1588" t="s">
        <v>2939</v>
      </c>
      <c r="C1588">
        <v>15137405</v>
      </c>
      <c r="D1588" t="str">
        <f>"3276005225312"</f>
        <v>3276005225312</v>
      </c>
      <c r="E1588" t="s">
        <v>2947</v>
      </c>
      <c r="F1588" t="s">
        <v>525</v>
      </c>
      <c r="G1588">
        <v>1</v>
      </c>
      <c r="H1588" t="s">
        <v>18</v>
      </c>
      <c r="I1588" t="s">
        <v>16</v>
      </c>
      <c r="J1588" t="s">
        <v>17</v>
      </c>
      <c r="L1588" t="s">
        <v>18</v>
      </c>
      <c r="M1588" t="s">
        <v>2944</v>
      </c>
    </row>
    <row r="1589" spans="2:13" x14ac:dyDescent="0.25">
      <c r="B1589" t="s">
        <v>2939</v>
      </c>
      <c r="C1589">
        <v>15478306</v>
      </c>
      <c r="D1589" t="str">
        <f>"4670009598394"</f>
        <v>4670009598394</v>
      </c>
      <c r="E1589" t="s">
        <v>2948</v>
      </c>
      <c r="F1589" t="s">
        <v>285</v>
      </c>
      <c r="G1589">
        <v>1</v>
      </c>
      <c r="H1589" t="s">
        <v>18</v>
      </c>
      <c r="I1589" t="s">
        <v>16</v>
      </c>
      <c r="J1589" t="s">
        <v>1556</v>
      </c>
      <c r="L1589" t="s">
        <v>18</v>
      </c>
      <c r="M1589" t="s">
        <v>2949</v>
      </c>
    </row>
    <row r="1590" spans="2:13" x14ac:dyDescent="0.25">
      <c r="B1590" t="s">
        <v>2939</v>
      </c>
      <c r="C1590">
        <v>15478314</v>
      </c>
      <c r="D1590" t="str">
        <f>"4607157113841"</f>
        <v>4607157113841</v>
      </c>
      <c r="E1590" t="s">
        <v>2950</v>
      </c>
      <c r="F1590" t="s">
        <v>43</v>
      </c>
      <c r="G1590">
        <v>1</v>
      </c>
      <c r="H1590" t="s">
        <v>18</v>
      </c>
      <c r="I1590" t="s">
        <v>16</v>
      </c>
      <c r="J1590" t="s">
        <v>1556</v>
      </c>
      <c r="L1590" t="s">
        <v>18</v>
      </c>
      <c r="M1590" t="s">
        <v>2951</v>
      </c>
    </row>
    <row r="1591" spans="2:13" x14ac:dyDescent="0.25">
      <c r="B1591" t="s">
        <v>2939</v>
      </c>
      <c r="C1591">
        <v>15478365</v>
      </c>
      <c r="D1591" t="str">
        <f>"4670009598301"</f>
        <v>4670009598301</v>
      </c>
      <c r="E1591" t="s">
        <v>2952</v>
      </c>
      <c r="F1591" t="s">
        <v>191</v>
      </c>
      <c r="G1591">
        <v>1</v>
      </c>
      <c r="H1591" t="s">
        <v>18</v>
      </c>
      <c r="I1591" t="s">
        <v>16</v>
      </c>
      <c r="J1591" t="s">
        <v>1556</v>
      </c>
      <c r="L1591" t="s">
        <v>18</v>
      </c>
      <c r="M1591" t="s">
        <v>2953</v>
      </c>
    </row>
    <row r="1592" spans="2:13" x14ac:dyDescent="0.25">
      <c r="B1592" t="s">
        <v>2939</v>
      </c>
      <c r="C1592">
        <v>15563869</v>
      </c>
      <c r="D1592" t="str">
        <f>"4670009598257"</f>
        <v>4670009598257</v>
      </c>
      <c r="E1592" t="s">
        <v>2954</v>
      </c>
      <c r="F1592" t="s">
        <v>268</v>
      </c>
      <c r="G1592">
        <v>1</v>
      </c>
      <c r="H1592" t="s">
        <v>18</v>
      </c>
      <c r="I1592" t="s">
        <v>16</v>
      </c>
      <c r="J1592" t="s">
        <v>1556</v>
      </c>
      <c r="L1592" t="s">
        <v>18</v>
      </c>
      <c r="M1592" t="s">
        <v>2955</v>
      </c>
    </row>
    <row r="1593" spans="2:13" x14ac:dyDescent="0.25">
      <c r="B1593" t="s">
        <v>2939</v>
      </c>
      <c r="C1593">
        <v>15610119</v>
      </c>
      <c r="D1593" t="str">
        <f>"4627091393857"</f>
        <v>4627091393857</v>
      </c>
      <c r="E1593" t="s">
        <v>2956</v>
      </c>
      <c r="F1593" t="s">
        <v>48</v>
      </c>
      <c r="G1593">
        <v>1</v>
      </c>
      <c r="H1593" t="s">
        <v>18</v>
      </c>
      <c r="I1593" t="s">
        <v>16</v>
      </c>
      <c r="J1593" t="s">
        <v>854</v>
      </c>
      <c r="L1593" t="s">
        <v>18</v>
      </c>
      <c r="M1593" t="s">
        <v>2957</v>
      </c>
    </row>
    <row r="1594" spans="2:13" x14ac:dyDescent="0.25">
      <c r="B1594" t="s">
        <v>2939</v>
      </c>
      <c r="C1594">
        <v>15655641</v>
      </c>
      <c r="D1594" t="str">
        <f>"4670009598295"</f>
        <v>4670009598295</v>
      </c>
      <c r="E1594" t="s">
        <v>2958</v>
      </c>
      <c r="F1594" t="s">
        <v>48</v>
      </c>
      <c r="G1594">
        <v>1</v>
      </c>
      <c r="H1594" t="s">
        <v>18</v>
      </c>
      <c r="I1594" t="s">
        <v>16</v>
      </c>
      <c r="J1594" t="s">
        <v>1556</v>
      </c>
      <c r="L1594" t="s">
        <v>18</v>
      </c>
      <c r="M1594" t="s">
        <v>2959</v>
      </c>
    </row>
    <row r="1595" spans="2:13" x14ac:dyDescent="0.25">
      <c r="B1595" t="s">
        <v>2939</v>
      </c>
      <c r="C1595">
        <v>15734509</v>
      </c>
      <c r="D1595" t="str">
        <f>"6925936906056"</f>
        <v>6925936906056</v>
      </c>
      <c r="E1595" t="s">
        <v>2960</v>
      </c>
      <c r="F1595" t="s">
        <v>60</v>
      </c>
      <c r="G1595">
        <v>1</v>
      </c>
      <c r="H1595" t="s">
        <v>18</v>
      </c>
      <c r="I1595" t="s">
        <v>16</v>
      </c>
      <c r="J1595" t="s">
        <v>360</v>
      </c>
      <c r="L1595" t="s">
        <v>18</v>
      </c>
      <c r="M1595" t="s">
        <v>2897</v>
      </c>
    </row>
    <row r="1596" spans="2:13" x14ac:dyDescent="0.25">
      <c r="B1596" t="s">
        <v>2939</v>
      </c>
      <c r="C1596">
        <v>15734568</v>
      </c>
      <c r="D1596" t="str">
        <f>"6925936006206"</f>
        <v>6925936006206</v>
      </c>
      <c r="E1596" t="s">
        <v>2961</v>
      </c>
      <c r="F1596" t="s">
        <v>24</v>
      </c>
      <c r="G1596">
        <v>1</v>
      </c>
      <c r="H1596" t="s">
        <v>18</v>
      </c>
      <c r="I1596" t="s">
        <v>16</v>
      </c>
      <c r="J1596" t="s">
        <v>360</v>
      </c>
      <c r="L1596" t="s">
        <v>18</v>
      </c>
      <c r="M1596" t="s">
        <v>2962</v>
      </c>
    </row>
    <row r="1597" spans="2:13" x14ac:dyDescent="0.25">
      <c r="B1597" t="s">
        <v>2939</v>
      </c>
      <c r="C1597">
        <v>15734584</v>
      </c>
      <c r="D1597" t="str">
        <f>"6925936008200"</f>
        <v>6925936008200</v>
      </c>
      <c r="E1597" t="s">
        <v>2963</v>
      </c>
      <c r="F1597" t="s">
        <v>31</v>
      </c>
      <c r="G1597">
        <v>1</v>
      </c>
      <c r="H1597" t="s">
        <v>18</v>
      </c>
      <c r="I1597" t="s">
        <v>16</v>
      </c>
      <c r="J1597" t="s">
        <v>360</v>
      </c>
      <c r="L1597" t="s">
        <v>18</v>
      </c>
      <c r="M1597" t="s">
        <v>2962</v>
      </c>
    </row>
    <row r="1598" spans="2:13" x14ac:dyDescent="0.25">
      <c r="B1598" t="s">
        <v>2964</v>
      </c>
      <c r="C1598">
        <v>15734349</v>
      </c>
      <c r="D1598" t="str">
        <f>"6925936631170"</f>
        <v>6925936631170</v>
      </c>
      <c r="E1598" t="s">
        <v>2965</v>
      </c>
      <c r="F1598" t="s">
        <v>14</v>
      </c>
      <c r="G1598">
        <v>1</v>
      </c>
      <c r="H1598" t="s">
        <v>18</v>
      </c>
      <c r="I1598" t="s">
        <v>16</v>
      </c>
      <c r="J1598" t="s">
        <v>360</v>
      </c>
      <c r="L1598" t="s">
        <v>18</v>
      </c>
      <c r="M1598" t="s">
        <v>2966</v>
      </c>
    </row>
    <row r="1599" spans="2:13" x14ac:dyDescent="0.25">
      <c r="B1599" t="s">
        <v>2964</v>
      </c>
      <c r="C1599">
        <v>15734357</v>
      </c>
      <c r="D1599" t="str">
        <f>"6925936631279"</f>
        <v>6925936631279</v>
      </c>
      <c r="E1599" t="s">
        <v>2967</v>
      </c>
      <c r="F1599" t="s">
        <v>191</v>
      </c>
      <c r="G1599">
        <v>1</v>
      </c>
      <c r="H1599" t="s">
        <v>18</v>
      </c>
      <c r="I1599" t="s">
        <v>16</v>
      </c>
      <c r="J1599" t="s">
        <v>360</v>
      </c>
      <c r="L1599" t="s">
        <v>18</v>
      </c>
      <c r="M1599" t="s">
        <v>2966</v>
      </c>
    </row>
    <row r="1600" spans="2:13" x14ac:dyDescent="0.25">
      <c r="B1600" t="s">
        <v>2964</v>
      </c>
      <c r="C1600">
        <v>15734365</v>
      </c>
      <c r="D1600" t="str">
        <f>"6925936631378"</f>
        <v>6925936631378</v>
      </c>
      <c r="E1600" t="s">
        <v>2968</v>
      </c>
      <c r="F1600" t="s">
        <v>43</v>
      </c>
      <c r="G1600">
        <v>1</v>
      </c>
      <c r="H1600" t="s">
        <v>18</v>
      </c>
      <c r="I1600" t="s">
        <v>16</v>
      </c>
      <c r="J1600" t="s">
        <v>360</v>
      </c>
      <c r="L1600" t="s">
        <v>18</v>
      </c>
      <c r="M1600" t="s">
        <v>2966</v>
      </c>
    </row>
    <row r="1601" spans="2:13" x14ac:dyDescent="0.25">
      <c r="B1601" t="s">
        <v>2964</v>
      </c>
      <c r="C1601">
        <v>15734373</v>
      </c>
      <c r="D1601" t="str">
        <f>"6925936631477"</f>
        <v>6925936631477</v>
      </c>
      <c r="E1601" t="s">
        <v>2969</v>
      </c>
      <c r="F1601" t="s">
        <v>379</v>
      </c>
      <c r="G1601">
        <v>1</v>
      </c>
      <c r="H1601" t="s">
        <v>18</v>
      </c>
      <c r="I1601" t="s">
        <v>16</v>
      </c>
      <c r="J1601" t="s">
        <v>360</v>
      </c>
      <c r="L1601" t="s">
        <v>18</v>
      </c>
      <c r="M1601" t="s">
        <v>2966</v>
      </c>
    </row>
    <row r="1602" spans="2:13" x14ac:dyDescent="0.25">
      <c r="B1602" t="s">
        <v>2964</v>
      </c>
      <c r="C1602">
        <v>15734390</v>
      </c>
      <c r="D1602" t="str">
        <f>"6925936631675"</f>
        <v>6925936631675</v>
      </c>
      <c r="E1602" t="s">
        <v>2970</v>
      </c>
      <c r="F1602" t="s">
        <v>14</v>
      </c>
      <c r="G1602">
        <v>1</v>
      </c>
      <c r="H1602" t="s">
        <v>18</v>
      </c>
      <c r="I1602" t="s">
        <v>16</v>
      </c>
      <c r="J1602" t="s">
        <v>360</v>
      </c>
      <c r="L1602" t="s">
        <v>18</v>
      </c>
      <c r="M1602" t="s">
        <v>2966</v>
      </c>
    </row>
    <row r="1603" spans="2:13" x14ac:dyDescent="0.25">
      <c r="B1603" t="s">
        <v>2964</v>
      </c>
      <c r="C1603">
        <v>15734402</v>
      </c>
      <c r="D1603" t="str">
        <f>"6925936631774"</f>
        <v>6925936631774</v>
      </c>
      <c r="E1603" t="s">
        <v>2971</v>
      </c>
      <c r="F1603" t="s">
        <v>31</v>
      </c>
      <c r="G1603">
        <v>1</v>
      </c>
      <c r="H1603" t="s">
        <v>18</v>
      </c>
      <c r="I1603" t="s">
        <v>16</v>
      </c>
      <c r="J1603" t="s">
        <v>360</v>
      </c>
      <c r="L1603" t="s">
        <v>18</v>
      </c>
      <c r="M1603" t="s">
        <v>2966</v>
      </c>
    </row>
    <row r="1604" spans="2:13" x14ac:dyDescent="0.25">
      <c r="B1604" t="s">
        <v>2972</v>
      </c>
      <c r="C1604">
        <v>14177560</v>
      </c>
      <c r="D1604" t="str">
        <f>"4630004986473"</f>
        <v>4630004986473</v>
      </c>
      <c r="E1604" t="s">
        <v>2973</v>
      </c>
      <c r="F1604" t="s">
        <v>1731</v>
      </c>
      <c r="G1604">
        <v>1</v>
      </c>
      <c r="H1604" t="s">
        <v>18</v>
      </c>
      <c r="I1604" t="s">
        <v>16</v>
      </c>
      <c r="J1604" t="s">
        <v>2623</v>
      </c>
      <c r="L1604" t="s">
        <v>18</v>
      </c>
      <c r="M1604" t="s">
        <v>1965</v>
      </c>
    </row>
    <row r="1605" spans="2:13" x14ac:dyDescent="0.25">
      <c r="B1605" t="s">
        <v>2972</v>
      </c>
      <c r="C1605">
        <v>14548309</v>
      </c>
      <c r="D1605" t="str">
        <f>"4607047301877"</f>
        <v>4607047301877</v>
      </c>
      <c r="E1605" t="s">
        <v>2974</v>
      </c>
      <c r="F1605" t="s">
        <v>2975</v>
      </c>
      <c r="G1605">
        <v>1</v>
      </c>
      <c r="H1605" t="s">
        <v>18</v>
      </c>
      <c r="I1605" t="s">
        <v>16</v>
      </c>
      <c r="J1605" t="s">
        <v>2623</v>
      </c>
      <c r="L1605" t="s">
        <v>18</v>
      </c>
      <c r="M1605" t="s">
        <v>1422</v>
      </c>
    </row>
    <row r="1606" spans="2:13" x14ac:dyDescent="0.25">
      <c r="B1606" t="s">
        <v>2976</v>
      </c>
      <c r="C1606">
        <v>12924868</v>
      </c>
      <c r="D1606" t="str">
        <f>"6908339430779"</f>
        <v>6908339430779</v>
      </c>
      <c r="E1606" t="s">
        <v>2977</v>
      </c>
      <c r="F1606" t="s">
        <v>791</v>
      </c>
      <c r="G1606">
        <v>1</v>
      </c>
      <c r="H1606" t="s">
        <v>18</v>
      </c>
      <c r="I1606" t="s">
        <v>16</v>
      </c>
      <c r="J1606" t="s">
        <v>2856</v>
      </c>
      <c r="L1606" t="s">
        <v>18</v>
      </c>
      <c r="M1606" t="s">
        <v>2978</v>
      </c>
    </row>
    <row r="1607" spans="2:13" x14ac:dyDescent="0.25">
      <c r="B1607" t="s">
        <v>2976</v>
      </c>
      <c r="C1607">
        <v>12925043</v>
      </c>
      <c r="D1607" t="str">
        <f>"6908331430869"</f>
        <v>6908331430869</v>
      </c>
      <c r="E1607" t="s">
        <v>2979</v>
      </c>
      <c r="F1607" t="s">
        <v>847</v>
      </c>
      <c r="G1607">
        <v>1</v>
      </c>
      <c r="H1607" t="s">
        <v>18</v>
      </c>
      <c r="I1607" t="s">
        <v>16</v>
      </c>
      <c r="J1607" t="s">
        <v>2856</v>
      </c>
      <c r="L1607" t="s">
        <v>18</v>
      </c>
      <c r="M1607" t="s">
        <v>2978</v>
      </c>
    </row>
    <row r="1608" spans="2:13" x14ac:dyDescent="0.25">
      <c r="B1608" t="s">
        <v>2976</v>
      </c>
      <c r="C1608">
        <v>12925246</v>
      </c>
      <c r="D1608" t="str">
        <f>"6908331431088"</f>
        <v>6908331431088</v>
      </c>
      <c r="E1608" t="s">
        <v>2980</v>
      </c>
      <c r="F1608" t="s">
        <v>1934</v>
      </c>
      <c r="G1608">
        <v>1</v>
      </c>
      <c r="H1608" t="s">
        <v>18</v>
      </c>
      <c r="I1608" t="s">
        <v>16</v>
      </c>
      <c r="J1608" t="s">
        <v>2856</v>
      </c>
      <c r="L1608" t="s">
        <v>18</v>
      </c>
      <c r="M1608" t="s">
        <v>2716</v>
      </c>
    </row>
    <row r="1609" spans="2:13" x14ac:dyDescent="0.25">
      <c r="B1609" t="s">
        <v>2976</v>
      </c>
      <c r="C1609">
        <v>15137317</v>
      </c>
      <c r="D1609" t="str">
        <f>"3276005225671"</f>
        <v>3276005225671</v>
      </c>
      <c r="E1609" t="s">
        <v>2981</v>
      </c>
      <c r="F1609" t="s">
        <v>242</v>
      </c>
      <c r="G1609">
        <v>1</v>
      </c>
      <c r="H1609" t="s">
        <v>18</v>
      </c>
      <c r="I1609" t="s">
        <v>16</v>
      </c>
      <c r="J1609" t="s">
        <v>17</v>
      </c>
      <c r="L1609" t="s">
        <v>18</v>
      </c>
      <c r="M1609" t="s">
        <v>1900</v>
      </c>
    </row>
    <row r="1610" spans="2:13" x14ac:dyDescent="0.25">
      <c r="B1610" t="s">
        <v>2976</v>
      </c>
      <c r="C1610">
        <v>15137325</v>
      </c>
      <c r="D1610" t="str">
        <f>"3276005225633"</f>
        <v>3276005225633</v>
      </c>
      <c r="E1610" t="s">
        <v>2982</v>
      </c>
      <c r="F1610" t="s">
        <v>366</v>
      </c>
      <c r="G1610">
        <v>1</v>
      </c>
      <c r="H1610" t="s">
        <v>18</v>
      </c>
      <c r="I1610" t="s">
        <v>16</v>
      </c>
      <c r="J1610" t="s">
        <v>17</v>
      </c>
      <c r="L1610" t="s">
        <v>18</v>
      </c>
      <c r="M1610" t="s">
        <v>1900</v>
      </c>
    </row>
    <row r="1611" spans="2:13" x14ac:dyDescent="0.25">
      <c r="B1611" t="s">
        <v>2976</v>
      </c>
      <c r="C1611">
        <v>15137333</v>
      </c>
      <c r="D1611" t="str">
        <f>"3276005225596"</f>
        <v>3276005225596</v>
      </c>
      <c r="E1611" t="s">
        <v>2983</v>
      </c>
      <c r="F1611" t="s">
        <v>1558</v>
      </c>
      <c r="G1611">
        <v>1</v>
      </c>
      <c r="H1611" t="s">
        <v>18</v>
      </c>
      <c r="I1611" t="s">
        <v>16</v>
      </c>
      <c r="J1611" t="s">
        <v>17</v>
      </c>
      <c r="L1611" t="s">
        <v>18</v>
      </c>
      <c r="M1611" t="s">
        <v>1900</v>
      </c>
    </row>
    <row r="1612" spans="2:13" x14ac:dyDescent="0.25">
      <c r="B1612" t="s">
        <v>2976</v>
      </c>
      <c r="C1612">
        <v>15137341</v>
      </c>
      <c r="D1612" t="str">
        <f>"3276005225558"</f>
        <v>3276005225558</v>
      </c>
      <c r="E1612" t="s">
        <v>2984</v>
      </c>
      <c r="F1612" t="s">
        <v>277</v>
      </c>
      <c r="G1612">
        <v>1</v>
      </c>
      <c r="H1612" t="s">
        <v>18</v>
      </c>
      <c r="I1612" t="s">
        <v>16</v>
      </c>
      <c r="J1612" t="s">
        <v>17</v>
      </c>
      <c r="L1612" t="s">
        <v>18</v>
      </c>
      <c r="M1612" t="s">
        <v>1900</v>
      </c>
    </row>
    <row r="1613" spans="2:13" x14ac:dyDescent="0.25">
      <c r="B1613" t="s">
        <v>2976</v>
      </c>
      <c r="C1613">
        <v>15141324</v>
      </c>
      <c r="D1613" t="str">
        <f>"3276005216303"</f>
        <v>3276005216303</v>
      </c>
      <c r="E1613" t="s">
        <v>2985</v>
      </c>
      <c r="F1613" t="s">
        <v>277</v>
      </c>
      <c r="G1613">
        <v>1</v>
      </c>
      <c r="H1613" t="s">
        <v>18</v>
      </c>
      <c r="I1613" t="s">
        <v>16</v>
      </c>
      <c r="J1613" t="s">
        <v>17</v>
      </c>
      <c r="L1613" t="s">
        <v>18</v>
      </c>
      <c r="M1613" t="s">
        <v>2114</v>
      </c>
    </row>
    <row r="1614" spans="2:13" x14ac:dyDescent="0.25">
      <c r="B1614" t="s">
        <v>2976</v>
      </c>
      <c r="C1614">
        <v>15141332</v>
      </c>
      <c r="D1614" t="str">
        <f>"3276005216266"</f>
        <v>3276005216266</v>
      </c>
      <c r="E1614" t="s">
        <v>2986</v>
      </c>
      <c r="F1614" t="s">
        <v>109</v>
      </c>
      <c r="G1614">
        <v>1</v>
      </c>
      <c r="H1614" t="s">
        <v>18</v>
      </c>
      <c r="I1614" t="s">
        <v>16</v>
      </c>
      <c r="J1614" t="s">
        <v>17</v>
      </c>
      <c r="L1614" t="s">
        <v>18</v>
      </c>
      <c r="M1614" t="s">
        <v>2114</v>
      </c>
    </row>
    <row r="1615" spans="2:13" x14ac:dyDescent="0.25">
      <c r="B1615" t="s">
        <v>2976</v>
      </c>
      <c r="C1615">
        <v>15141341</v>
      </c>
      <c r="D1615" t="str">
        <f>"3276005216228"</f>
        <v>3276005216228</v>
      </c>
      <c r="E1615" t="s">
        <v>2987</v>
      </c>
      <c r="F1615" t="s">
        <v>21</v>
      </c>
      <c r="G1615">
        <v>1</v>
      </c>
      <c r="H1615" t="s">
        <v>18</v>
      </c>
      <c r="I1615" t="s">
        <v>16</v>
      </c>
      <c r="J1615" t="s">
        <v>17</v>
      </c>
      <c r="L1615" t="s">
        <v>18</v>
      </c>
      <c r="M1615" t="s">
        <v>2114</v>
      </c>
    </row>
    <row r="1616" spans="2:13" x14ac:dyDescent="0.25">
      <c r="B1616" t="s">
        <v>2976</v>
      </c>
      <c r="C1616">
        <v>15141359</v>
      </c>
      <c r="D1616" t="str">
        <f>"3276005216181"</f>
        <v>3276005216181</v>
      </c>
      <c r="E1616" t="s">
        <v>2988</v>
      </c>
      <c r="F1616" t="s">
        <v>174</v>
      </c>
      <c r="G1616">
        <v>1</v>
      </c>
      <c r="H1616" t="s">
        <v>18</v>
      </c>
      <c r="I1616" t="s">
        <v>16</v>
      </c>
      <c r="J1616" t="s">
        <v>17</v>
      </c>
      <c r="L1616" t="s">
        <v>18</v>
      </c>
      <c r="M1616" t="s">
        <v>2114</v>
      </c>
    </row>
    <row r="1617" spans="2:13" x14ac:dyDescent="0.25">
      <c r="B1617" t="s">
        <v>2976</v>
      </c>
      <c r="C1617">
        <v>15141367</v>
      </c>
      <c r="D1617" t="str">
        <f>"3276005216143"</f>
        <v>3276005216143</v>
      </c>
      <c r="E1617" t="s">
        <v>2989</v>
      </c>
      <c r="F1617" t="s">
        <v>277</v>
      </c>
      <c r="G1617">
        <v>1</v>
      </c>
      <c r="H1617" t="s">
        <v>18</v>
      </c>
      <c r="I1617" t="s">
        <v>16</v>
      </c>
      <c r="J1617" t="s">
        <v>17</v>
      </c>
      <c r="L1617" t="s">
        <v>18</v>
      </c>
      <c r="M1617" t="s">
        <v>2114</v>
      </c>
    </row>
    <row r="1618" spans="2:13" x14ac:dyDescent="0.25">
      <c r="B1618" t="s">
        <v>2976</v>
      </c>
      <c r="C1618">
        <v>15141375</v>
      </c>
      <c r="D1618" t="str">
        <f>"3276005216105"</f>
        <v>3276005216105</v>
      </c>
      <c r="E1618" t="s">
        <v>2990</v>
      </c>
      <c r="F1618" t="s">
        <v>191</v>
      </c>
      <c r="G1618">
        <v>1</v>
      </c>
      <c r="H1618" t="s">
        <v>18</v>
      </c>
      <c r="I1618" t="s">
        <v>16</v>
      </c>
      <c r="J1618" t="s">
        <v>28</v>
      </c>
      <c r="L1618" t="s">
        <v>18</v>
      </c>
      <c r="M1618" t="s">
        <v>781</v>
      </c>
    </row>
    <row r="1619" spans="2:13" x14ac:dyDescent="0.25">
      <c r="B1619" t="s">
        <v>2976</v>
      </c>
      <c r="C1619">
        <v>15141383</v>
      </c>
      <c r="D1619" t="str">
        <f>"3276005216068"</f>
        <v>3276005216068</v>
      </c>
      <c r="E1619" t="s">
        <v>2991</v>
      </c>
      <c r="F1619" t="s">
        <v>165</v>
      </c>
      <c r="G1619">
        <v>1</v>
      </c>
      <c r="H1619" t="s">
        <v>18</v>
      </c>
      <c r="I1619" t="s">
        <v>16</v>
      </c>
      <c r="J1619" t="s">
        <v>17</v>
      </c>
      <c r="L1619" t="s">
        <v>18</v>
      </c>
      <c r="M1619" t="s">
        <v>2114</v>
      </c>
    </row>
    <row r="1620" spans="2:13" x14ac:dyDescent="0.25">
      <c r="B1620" t="s">
        <v>2976</v>
      </c>
      <c r="C1620">
        <v>15467703</v>
      </c>
      <c r="D1620" t="str">
        <f>"4630008639191"</f>
        <v>4630008639191</v>
      </c>
      <c r="E1620" t="s">
        <v>2992</v>
      </c>
      <c r="F1620" t="s">
        <v>242</v>
      </c>
      <c r="G1620">
        <v>1</v>
      </c>
      <c r="H1620" t="s">
        <v>18</v>
      </c>
      <c r="I1620" t="s">
        <v>16</v>
      </c>
      <c r="J1620" t="s">
        <v>2483</v>
      </c>
      <c r="L1620" t="s">
        <v>18</v>
      </c>
      <c r="M1620" t="s">
        <v>2054</v>
      </c>
    </row>
    <row r="1621" spans="2:13" x14ac:dyDescent="0.25">
      <c r="B1621" t="s">
        <v>2976</v>
      </c>
      <c r="C1621">
        <v>15467711</v>
      </c>
      <c r="D1621" t="str">
        <f>"4630008639207"</f>
        <v>4630008639207</v>
      </c>
      <c r="E1621" t="s">
        <v>2993</v>
      </c>
      <c r="F1621" t="s">
        <v>1558</v>
      </c>
      <c r="G1621">
        <v>1</v>
      </c>
      <c r="H1621" t="s">
        <v>18</v>
      </c>
      <c r="I1621" t="s">
        <v>16</v>
      </c>
      <c r="J1621" t="s">
        <v>2483</v>
      </c>
      <c r="L1621" t="s">
        <v>18</v>
      </c>
      <c r="M1621" t="s">
        <v>2054</v>
      </c>
    </row>
    <row r="1622" spans="2:13" x14ac:dyDescent="0.25">
      <c r="B1622" t="s">
        <v>2976</v>
      </c>
      <c r="C1622">
        <v>15467720</v>
      </c>
      <c r="D1622" t="str">
        <f>"4630008639214"</f>
        <v>4630008639214</v>
      </c>
      <c r="E1622" t="s">
        <v>2994</v>
      </c>
      <c r="F1622" t="s">
        <v>973</v>
      </c>
      <c r="G1622">
        <v>1</v>
      </c>
      <c r="H1622" t="s">
        <v>18</v>
      </c>
      <c r="I1622" t="s">
        <v>16</v>
      </c>
      <c r="J1622" t="s">
        <v>2483</v>
      </c>
      <c r="L1622" t="s">
        <v>18</v>
      </c>
      <c r="M1622" t="s">
        <v>2054</v>
      </c>
    </row>
    <row r="1623" spans="2:13" x14ac:dyDescent="0.25">
      <c r="B1623" t="s">
        <v>2976</v>
      </c>
      <c r="C1623">
        <v>15467738</v>
      </c>
      <c r="D1623" t="str">
        <f>"4630008639221"</f>
        <v>4630008639221</v>
      </c>
      <c r="E1623" t="s">
        <v>2995</v>
      </c>
      <c r="F1623" t="s">
        <v>847</v>
      </c>
      <c r="G1623">
        <v>1</v>
      </c>
      <c r="H1623" t="s">
        <v>18</v>
      </c>
      <c r="I1623" t="s">
        <v>16</v>
      </c>
      <c r="J1623" t="s">
        <v>2483</v>
      </c>
      <c r="L1623" t="s">
        <v>18</v>
      </c>
      <c r="M1623" t="s">
        <v>2054</v>
      </c>
    </row>
    <row r="1624" spans="2:13" x14ac:dyDescent="0.25">
      <c r="B1624" t="s">
        <v>2976</v>
      </c>
      <c r="C1624">
        <v>15467746</v>
      </c>
      <c r="D1624" t="str">
        <f>"4630008639238"</f>
        <v>4630008639238</v>
      </c>
      <c r="E1624" t="s">
        <v>2996</v>
      </c>
      <c r="F1624" t="s">
        <v>1168</v>
      </c>
      <c r="G1624">
        <v>1</v>
      </c>
      <c r="H1624" t="s">
        <v>18</v>
      </c>
      <c r="I1624" t="s">
        <v>16</v>
      </c>
      <c r="J1624" t="s">
        <v>2483</v>
      </c>
      <c r="L1624" t="s">
        <v>18</v>
      </c>
      <c r="M1624" t="s">
        <v>2054</v>
      </c>
    </row>
    <row r="1625" spans="2:13" x14ac:dyDescent="0.25">
      <c r="B1625" t="s">
        <v>2976</v>
      </c>
      <c r="C1625">
        <v>15467754</v>
      </c>
      <c r="D1625" t="str">
        <f>"4630008639245"</f>
        <v>4630008639245</v>
      </c>
      <c r="E1625" t="s">
        <v>2997</v>
      </c>
      <c r="F1625" t="s">
        <v>491</v>
      </c>
      <c r="G1625">
        <v>1</v>
      </c>
      <c r="H1625" t="s">
        <v>18</v>
      </c>
      <c r="I1625" t="s">
        <v>16</v>
      </c>
      <c r="J1625" t="s">
        <v>2483</v>
      </c>
      <c r="L1625" t="s">
        <v>18</v>
      </c>
      <c r="M1625" t="s">
        <v>2054</v>
      </c>
    </row>
    <row r="1626" spans="2:13" x14ac:dyDescent="0.25">
      <c r="B1626" t="s">
        <v>2976</v>
      </c>
      <c r="C1626">
        <v>15467762</v>
      </c>
      <c r="D1626" t="str">
        <f>"4630008639252"</f>
        <v>4630008639252</v>
      </c>
      <c r="E1626" t="s">
        <v>2998</v>
      </c>
      <c r="F1626" t="s">
        <v>1178</v>
      </c>
      <c r="G1626">
        <v>1</v>
      </c>
      <c r="H1626" t="s">
        <v>18</v>
      </c>
      <c r="I1626" t="s">
        <v>16</v>
      </c>
      <c r="J1626" t="s">
        <v>2483</v>
      </c>
      <c r="L1626" t="s">
        <v>18</v>
      </c>
      <c r="M1626" t="s">
        <v>2054</v>
      </c>
    </row>
    <row r="1627" spans="2:13" x14ac:dyDescent="0.25">
      <c r="B1627" t="s">
        <v>2976</v>
      </c>
      <c r="C1627">
        <v>15499887</v>
      </c>
      <c r="D1627" t="str">
        <f>"4650062702792"</f>
        <v>4650062702792</v>
      </c>
      <c r="E1627" t="s">
        <v>2999</v>
      </c>
      <c r="F1627" t="s">
        <v>277</v>
      </c>
      <c r="G1627">
        <v>1</v>
      </c>
      <c r="H1627" t="s">
        <v>18</v>
      </c>
      <c r="I1627" t="s">
        <v>16</v>
      </c>
      <c r="J1627" t="s">
        <v>1571</v>
      </c>
      <c r="L1627" t="s">
        <v>18</v>
      </c>
      <c r="M1627" t="s">
        <v>2066</v>
      </c>
    </row>
    <row r="1628" spans="2:13" x14ac:dyDescent="0.25">
      <c r="B1628" t="s">
        <v>2976</v>
      </c>
      <c r="C1628">
        <v>15499895</v>
      </c>
      <c r="D1628" t="str">
        <f>"4650062702839"</f>
        <v>4650062702839</v>
      </c>
      <c r="E1628" t="s">
        <v>3000</v>
      </c>
      <c r="F1628" t="s">
        <v>649</v>
      </c>
      <c r="G1628">
        <v>1</v>
      </c>
      <c r="H1628" t="s">
        <v>18</v>
      </c>
      <c r="I1628" t="s">
        <v>16</v>
      </c>
      <c r="J1628" t="s">
        <v>1571</v>
      </c>
      <c r="L1628" t="s">
        <v>18</v>
      </c>
      <c r="M1628" t="s">
        <v>2066</v>
      </c>
    </row>
    <row r="1629" spans="2:13" x14ac:dyDescent="0.25">
      <c r="B1629" t="s">
        <v>2976</v>
      </c>
      <c r="C1629">
        <v>15499908</v>
      </c>
      <c r="D1629" t="str">
        <f>"4650062702808"</f>
        <v>4650062702808</v>
      </c>
      <c r="E1629" t="s">
        <v>3001</v>
      </c>
      <c r="F1629" t="s">
        <v>389</v>
      </c>
      <c r="G1629">
        <v>1</v>
      </c>
      <c r="H1629" t="s">
        <v>18</v>
      </c>
      <c r="I1629" t="s">
        <v>16</v>
      </c>
      <c r="J1629" t="s">
        <v>1571</v>
      </c>
      <c r="L1629" t="s">
        <v>18</v>
      </c>
      <c r="M1629" t="s">
        <v>2066</v>
      </c>
    </row>
    <row r="1630" spans="2:13" x14ac:dyDescent="0.25">
      <c r="B1630" t="s">
        <v>2976</v>
      </c>
      <c r="C1630">
        <v>15499916</v>
      </c>
      <c r="D1630" t="str">
        <f>"4650062702822"</f>
        <v>4650062702822</v>
      </c>
      <c r="E1630" t="s">
        <v>3002</v>
      </c>
      <c r="F1630" t="s">
        <v>366</v>
      </c>
      <c r="G1630">
        <v>1</v>
      </c>
      <c r="H1630" t="s">
        <v>18</v>
      </c>
      <c r="I1630" t="s">
        <v>16</v>
      </c>
      <c r="J1630" t="s">
        <v>1571</v>
      </c>
      <c r="L1630" t="s">
        <v>18</v>
      </c>
      <c r="M1630" t="s">
        <v>2066</v>
      </c>
    </row>
    <row r="1631" spans="2:13" x14ac:dyDescent="0.25">
      <c r="B1631" t="s">
        <v>2976</v>
      </c>
      <c r="C1631">
        <v>15499924</v>
      </c>
      <c r="D1631" t="str">
        <f>"4650062702846"</f>
        <v>4650062702846</v>
      </c>
      <c r="E1631" t="s">
        <v>3003</v>
      </c>
      <c r="F1631" t="s">
        <v>185</v>
      </c>
      <c r="G1631">
        <v>1</v>
      </c>
      <c r="H1631" t="s">
        <v>18</v>
      </c>
      <c r="I1631" t="s">
        <v>16</v>
      </c>
      <c r="J1631" t="s">
        <v>1571</v>
      </c>
      <c r="L1631" t="s">
        <v>18</v>
      </c>
      <c r="M1631" t="s">
        <v>2066</v>
      </c>
    </row>
    <row r="1632" spans="2:13" x14ac:dyDescent="0.25">
      <c r="B1632" t="s">
        <v>2976</v>
      </c>
      <c r="C1632">
        <v>15499932</v>
      </c>
      <c r="D1632" t="str">
        <f>"4650062702815"</f>
        <v>4650062702815</v>
      </c>
      <c r="E1632" t="s">
        <v>3004</v>
      </c>
      <c r="F1632" t="s">
        <v>485</v>
      </c>
      <c r="G1632">
        <v>1</v>
      </c>
      <c r="H1632" t="s">
        <v>18</v>
      </c>
      <c r="I1632" t="s">
        <v>16</v>
      </c>
      <c r="J1632" t="s">
        <v>1571</v>
      </c>
      <c r="L1632" t="s">
        <v>18</v>
      </c>
      <c r="M1632" t="s">
        <v>2066</v>
      </c>
    </row>
    <row r="1633" spans="2:13" x14ac:dyDescent="0.25">
      <c r="B1633" t="s">
        <v>2976</v>
      </c>
      <c r="C1633">
        <v>15609994</v>
      </c>
      <c r="D1633" t="str">
        <f>"4627091393864"</f>
        <v>4627091393864</v>
      </c>
      <c r="E1633" t="s">
        <v>3005</v>
      </c>
      <c r="F1633" t="s">
        <v>40</v>
      </c>
      <c r="G1633">
        <v>1</v>
      </c>
      <c r="H1633" t="s">
        <v>18</v>
      </c>
      <c r="I1633" t="s">
        <v>16</v>
      </c>
      <c r="J1633" t="s">
        <v>854</v>
      </c>
      <c r="L1633" t="s">
        <v>18</v>
      </c>
      <c r="M1633" t="s">
        <v>1941</v>
      </c>
    </row>
    <row r="1634" spans="2:13" x14ac:dyDescent="0.25">
      <c r="B1634" t="s">
        <v>2976</v>
      </c>
      <c r="C1634">
        <v>15610012</v>
      </c>
      <c r="D1634" t="str">
        <f>"4627091393871"</f>
        <v>4627091393871</v>
      </c>
      <c r="E1634" t="s">
        <v>3006</v>
      </c>
      <c r="F1634" t="s">
        <v>21</v>
      </c>
      <c r="G1634">
        <v>1</v>
      </c>
      <c r="H1634" t="s">
        <v>18</v>
      </c>
      <c r="I1634" t="s">
        <v>16</v>
      </c>
      <c r="J1634" t="s">
        <v>854</v>
      </c>
      <c r="L1634" t="s">
        <v>18</v>
      </c>
      <c r="M1634" t="s">
        <v>1941</v>
      </c>
    </row>
    <row r="1635" spans="2:13" x14ac:dyDescent="0.25">
      <c r="B1635" t="s">
        <v>2976</v>
      </c>
      <c r="C1635">
        <v>15610039</v>
      </c>
      <c r="D1635" t="str">
        <f>"4627091393888"</f>
        <v>4627091393888</v>
      </c>
      <c r="E1635" t="s">
        <v>3007</v>
      </c>
      <c r="F1635" t="s">
        <v>194</v>
      </c>
      <c r="G1635">
        <v>1</v>
      </c>
      <c r="H1635" t="s">
        <v>18</v>
      </c>
      <c r="I1635" t="s">
        <v>16</v>
      </c>
      <c r="J1635" t="s">
        <v>854</v>
      </c>
      <c r="L1635" t="s">
        <v>18</v>
      </c>
      <c r="M1635" t="s">
        <v>1941</v>
      </c>
    </row>
    <row r="1636" spans="2:13" x14ac:dyDescent="0.25">
      <c r="B1636" t="s">
        <v>2976</v>
      </c>
      <c r="C1636">
        <v>15610063</v>
      </c>
      <c r="D1636" t="str">
        <f>"4627091393925"</f>
        <v>4627091393925</v>
      </c>
      <c r="E1636" t="s">
        <v>3008</v>
      </c>
      <c r="F1636" t="s">
        <v>48</v>
      </c>
      <c r="G1636">
        <v>1</v>
      </c>
      <c r="H1636" t="s">
        <v>18</v>
      </c>
      <c r="I1636" t="s">
        <v>16</v>
      </c>
      <c r="J1636" t="s">
        <v>854</v>
      </c>
      <c r="L1636" t="s">
        <v>18</v>
      </c>
      <c r="M1636" t="s">
        <v>1941</v>
      </c>
    </row>
    <row r="1637" spans="2:13" x14ac:dyDescent="0.25">
      <c r="B1637" t="s">
        <v>2976</v>
      </c>
      <c r="C1637">
        <v>15610101</v>
      </c>
      <c r="D1637" t="str">
        <f>"4627091393901"</f>
        <v>4627091393901</v>
      </c>
      <c r="E1637" t="s">
        <v>3009</v>
      </c>
      <c r="F1637" t="s">
        <v>379</v>
      </c>
      <c r="G1637">
        <v>1</v>
      </c>
      <c r="H1637" t="s">
        <v>18</v>
      </c>
      <c r="I1637" t="s">
        <v>16</v>
      </c>
      <c r="J1637" t="s">
        <v>854</v>
      </c>
      <c r="L1637" t="s">
        <v>18</v>
      </c>
      <c r="M1637" t="s">
        <v>1941</v>
      </c>
    </row>
    <row r="1638" spans="2:13" x14ac:dyDescent="0.25">
      <c r="B1638" t="s">
        <v>2976</v>
      </c>
      <c r="C1638">
        <v>15610127</v>
      </c>
      <c r="D1638" t="str">
        <f>"4627091393918"</f>
        <v>4627091393918</v>
      </c>
      <c r="E1638" t="s">
        <v>3010</v>
      </c>
      <c r="F1638" t="s">
        <v>31</v>
      </c>
      <c r="G1638">
        <v>1</v>
      </c>
      <c r="H1638" t="s">
        <v>18</v>
      </c>
      <c r="I1638" t="s">
        <v>16</v>
      </c>
      <c r="J1638" t="s">
        <v>854</v>
      </c>
      <c r="L1638" t="s">
        <v>18</v>
      </c>
      <c r="M1638" t="s">
        <v>1941</v>
      </c>
    </row>
    <row r="1639" spans="2:13" x14ac:dyDescent="0.25">
      <c r="B1639" t="s">
        <v>2976</v>
      </c>
      <c r="C1639">
        <v>17817535</v>
      </c>
      <c r="D1639" t="str">
        <f>"4627112610406"</f>
        <v>4627112610406</v>
      </c>
      <c r="E1639" t="s">
        <v>3011</v>
      </c>
      <c r="F1639" t="s">
        <v>242</v>
      </c>
      <c r="G1639">
        <v>1</v>
      </c>
      <c r="H1639" t="s">
        <v>18</v>
      </c>
      <c r="I1639" t="s">
        <v>16</v>
      </c>
      <c r="J1639" t="s">
        <v>892</v>
      </c>
      <c r="L1639" t="s">
        <v>18</v>
      </c>
      <c r="M1639" t="s">
        <v>768</v>
      </c>
    </row>
    <row r="1640" spans="2:13" x14ac:dyDescent="0.25">
      <c r="B1640" t="s">
        <v>2976</v>
      </c>
      <c r="C1640">
        <v>17817738</v>
      </c>
      <c r="D1640" t="str">
        <f>"4627112610741"</f>
        <v>4627112610741</v>
      </c>
      <c r="E1640" t="s">
        <v>3012</v>
      </c>
      <c r="F1640" t="s">
        <v>485</v>
      </c>
      <c r="G1640">
        <v>1</v>
      </c>
      <c r="H1640" t="s">
        <v>18</v>
      </c>
      <c r="I1640" t="s">
        <v>16</v>
      </c>
      <c r="J1640" t="s">
        <v>892</v>
      </c>
      <c r="L1640" t="s">
        <v>18</v>
      </c>
      <c r="M1640" t="s">
        <v>2290</v>
      </c>
    </row>
    <row r="1641" spans="2:13" x14ac:dyDescent="0.25">
      <c r="B1641" t="s">
        <v>2976</v>
      </c>
      <c r="C1641">
        <v>17817771</v>
      </c>
      <c r="D1641" t="str">
        <f>"4627112610789"</f>
        <v>4627112610789</v>
      </c>
      <c r="E1641" t="s">
        <v>3013</v>
      </c>
      <c r="F1641" t="s">
        <v>823</v>
      </c>
      <c r="G1641">
        <v>1</v>
      </c>
      <c r="H1641" t="s">
        <v>18</v>
      </c>
      <c r="I1641" t="s">
        <v>16</v>
      </c>
      <c r="J1641" t="s">
        <v>892</v>
      </c>
      <c r="L1641" t="s">
        <v>18</v>
      </c>
      <c r="M1641" t="s">
        <v>2290</v>
      </c>
    </row>
    <row r="1642" spans="2:13" x14ac:dyDescent="0.25">
      <c r="B1642" t="s">
        <v>2976</v>
      </c>
      <c r="C1642">
        <v>18052491</v>
      </c>
      <c r="D1642" t="str">
        <f>"4680018340082"</f>
        <v>4680018340082</v>
      </c>
      <c r="E1642" t="s">
        <v>3014</v>
      </c>
      <c r="F1642" t="s">
        <v>191</v>
      </c>
      <c r="G1642">
        <v>1</v>
      </c>
      <c r="H1642" t="s">
        <v>18</v>
      </c>
      <c r="I1642" t="s">
        <v>16</v>
      </c>
      <c r="J1642" t="s">
        <v>1682</v>
      </c>
      <c r="L1642" t="s">
        <v>18</v>
      </c>
      <c r="M1642" t="s">
        <v>1479</v>
      </c>
    </row>
    <row r="1643" spans="2:13" x14ac:dyDescent="0.25">
      <c r="B1643" t="s">
        <v>2976</v>
      </c>
      <c r="C1643">
        <v>18052511</v>
      </c>
      <c r="D1643" t="str">
        <f>"4680018340105"</f>
        <v>4680018340105</v>
      </c>
      <c r="E1643" t="s">
        <v>3015</v>
      </c>
      <c r="F1643" t="s">
        <v>60</v>
      </c>
      <c r="G1643">
        <v>1</v>
      </c>
      <c r="H1643" t="s">
        <v>18</v>
      </c>
      <c r="I1643" t="s">
        <v>16</v>
      </c>
      <c r="J1643" t="s">
        <v>1682</v>
      </c>
      <c r="L1643" t="s">
        <v>18</v>
      </c>
      <c r="M1643" t="s">
        <v>1479</v>
      </c>
    </row>
    <row r="1644" spans="2:13" x14ac:dyDescent="0.25">
      <c r="B1644" t="s">
        <v>2976</v>
      </c>
      <c r="C1644">
        <v>18052538</v>
      </c>
      <c r="D1644" t="str">
        <f>"4680018340129"</f>
        <v>4680018340129</v>
      </c>
      <c r="E1644" t="s">
        <v>3016</v>
      </c>
      <c r="F1644" t="s">
        <v>1025</v>
      </c>
      <c r="G1644">
        <v>1</v>
      </c>
      <c r="H1644" t="s">
        <v>18</v>
      </c>
      <c r="I1644" t="s">
        <v>16</v>
      </c>
      <c r="J1644" t="s">
        <v>1682</v>
      </c>
      <c r="L1644" t="s">
        <v>18</v>
      </c>
      <c r="M1644" t="s">
        <v>1479</v>
      </c>
    </row>
    <row r="1645" spans="2:13" x14ac:dyDescent="0.25">
      <c r="B1645" t="s">
        <v>2976</v>
      </c>
      <c r="C1645">
        <v>18052554</v>
      </c>
      <c r="D1645" t="str">
        <f>"4680018340143"</f>
        <v>4680018340143</v>
      </c>
      <c r="E1645" t="s">
        <v>3017</v>
      </c>
      <c r="F1645" t="s">
        <v>40</v>
      </c>
      <c r="G1645">
        <v>1</v>
      </c>
      <c r="H1645" t="s">
        <v>18</v>
      </c>
      <c r="I1645" t="s">
        <v>16</v>
      </c>
      <c r="J1645" t="s">
        <v>1682</v>
      </c>
      <c r="L1645" t="s">
        <v>18</v>
      </c>
      <c r="M1645" t="s">
        <v>1479</v>
      </c>
    </row>
    <row r="1646" spans="2:13" x14ac:dyDescent="0.25">
      <c r="B1646" t="s">
        <v>2976</v>
      </c>
      <c r="C1646">
        <v>18088987</v>
      </c>
      <c r="D1646" t="str">
        <f>"3276000239345"</f>
        <v>3276000239345</v>
      </c>
      <c r="E1646" t="s">
        <v>3018</v>
      </c>
      <c r="F1646" t="s">
        <v>491</v>
      </c>
      <c r="G1646">
        <v>1</v>
      </c>
      <c r="H1646" t="s">
        <v>18</v>
      </c>
      <c r="I1646" t="s">
        <v>16</v>
      </c>
      <c r="J1646" t="s">
        <v>28</v>
      </c>
      <c r="L1646" t="s">
        <v>18</v>
      </c>
      <c r="M1646" t="s">
        <v>577</v>
      </c>
    </row>
    <row r="1647" spans="2:13" x14ac:dyDescent="0.25">
      <c r="B1647" t="s">
        <v>2976</v>
      </c>
      <c r="C1647">
        <v>18089007</v>
      </c>
      <c r="D1647" t="str">
        <f>"3276000239314"</f>
        <v>3276000239314</v>
      </c>
      <c r="E1647" t="s">
        <v>3019</v>
      </c>
      <c r="F1647" t="s">
        <v>491</v>
      </c>
      <c r="G1647">
        <v>1</v>
      </c>
      <c r="H1647" t="s">
        <v>18</v>
      </c>
      <c r="I1647" t="s">
        <v>16</v>
      </c>
      <c r="J1647" t="s">
        <v>17</v>
      </c>
      <c r="L1647" t="s">
        <v>18</v>
      </c>
      <c r="M1647" t="s">
        <v>577</v>
      </c>
    </row>
    <row r="1648" spans="2:13" x14ac:dyDescent="0.25">
      <c r="B1648" t="s">
        <v>2976</v>
      </c>
      <c r="C1648">
        <v>18089015</v>
      </c>
      <c r="D1648" t="str">
        <f>"3276000239383"</f>
        <v>3276000239383</v>
      </c>
      <c r="E1648" t="s">
        <v>3020</v>
      </c>
      <c r="F1648" t="s">
        <v>491</v>
      </c>
      <c r="G1648">
        <v>1</v>
      </c>
      <c r="H1648" t="s">
        <v>18</v>
      </c>
      <c r="I1648" t="s">
        <v>16</v>
      </c>
      <c r="J1648" t="s">
        <v>28</v>
      </c>
      <c r="L1648" t="s">
        <v>18</v>
      </c>
      <c r="M1648" t="s">
        <v>577</v>
      </c>
    </row>
    <row r="1649" spans="2:13" x14ac:dyDescent="0.25">
      <c r="B1649" t="s">
        <v>2976</v>
      </c>
      <c r="C1649">
        <v>18089040</v>
      </c>
      <c r="D1649" t="str">
        <f>"3276000239352"</f>
        <v>3276000239352</v>
      </c>
      <c r="E1649" t="s">
        <v>3021</v>
      </c>
      <c r="F1649" t="s">
        <v>491</v>
      </c>
      <c r="G1649">
        <v>1</v>
      </c>
      <c r="H1649" t="s">
        <v>18</v>
      </c>
      <c r="I1649" t="s">
        <v>16</v>
      </c>
      <c r="J1649" t="s">
        <v>28</v>
      </c>
      <c r="L1649" t="s">
        <v>18</v>
      </c>
      <c r="M1649" t="s">
        <v>577</v>
      </c>
    </row>
    <row r="1650" spans="2:13" x14ac:dyDescent="0.25">
      <c r="B1650" t="s">
        <v>2976</v>
      </c>
      <c r="C1650">
        <v>18089058</v>
      </c>
      <c r="D1650" t="str">
        <f>"3276000239369"</f>
        <v>3276000239369</v>
      </c>
      <c r="E1650" t="s">
        <v>3022</v>
      </c>
      <c r="F1650" t="s">
        <v>1561</v>
      </c>
      <c r="G1650">
        <v>1</v>
      </c>
      <c r="H1650" t="s">
        <v>18</v>
      </c>
      <c r="I1650" t="s">
        <v>16</v>
      </c>
      <c r="J1650" t="s">
        <v>17</v>
      </c>
      <c r="L1650" t="s">
        <v>18</v>
      </c>
      <c r="M1650" t="s">
        <v>577</v>
      </c>
    </row>
    <row r="1651" spans="2:13" x14ac:dyDescent="0.25">
      <c r="B1651" t="s">
        <v>2976</v>
      </c>
      <c r="C1651">
        <v>18089066</v>
      </c>
      <c r="D1651" t="str">
        <f>"3276000239338"</f>
        <v>3276000239338</v>
      </c>
      <c r="E1651" t="s">
        <v>3023</v>
      </c>
      <c r="F1651" t="s">
        <v>1561</v>
      </c>
      <c r="G1651">
        <v>1</v>
      </c>
      <c r="H1651" t="s">
        <v>18</v>
      </c>
      <c r="I1651" t="s">
        <v>16</v>
      </c>
      <c r="J1651" t="s">
        <v>17</v>
      </c>
      <c r="L1651" t="s">
        <v>18</v>
      </c>
      <c r="M1651" t="s">
        <v>577</v>
      </c>
    </row>
    <row r="1652" spans="2:13" x14ac:dyDescent="0.25">
      <c r="B1652" t="s">
        <v>2976</v>
      </c>
      <c r="C1652">
        <v>18089074</v>
      </c>
      <c r="D1652" t="str">
        <f>"3276000239376"</f>
        <v>3276000239376</v>
      </c>
      <c r="E1652" t="s">
        <v>3024</v>
      </c>
      <c r="F1652" t="s">
        <v>310</v>
      </c>
      <c r="G1652">
        <v>1</v>
      </c>
      <c r="H1652" t="s">
        <v>18</v>
      </c>
      <c r="I1652" t="s">
        <v>16</v>
      </c>
      <c r="J1652" t="s">
        <v>17</v>
      </c>
      <c r="L1652" t="s">
        <v>18</v>
      </c>
      <c r="M1652" t="s">
        <v>577</v>
      </c>
    </row>
    <row r="1653" spans="2:13" x14ac:dyDescent="0.25">
      <c r="B1653" t="s">
        <v>3025</v>
      </c>
      <c r="C1653">
        <v>15549557</v>
      </c>
      <c r="D1653" t="str">
        <f>"4670009597335"</f>
        <v>4670009597335</v>
      </c>
      <c r="E1653" t="s">
        <v>3026</v>
      </c>
      <c r="F1653" t="s">
        <v>48</v>
      </c>
      <c r="G1653">
        <v>1</v>
      </c>
      <c r="H1653" t="s">
        <v>18</v>
      </c>
      <c r="I1653" t="s">
        <v>16</v>
      </c>
      <c r="J1653" t="s">
        <v>1556</v>
      </c>
      <c r="L1653" t="s">
        <v>18</v>
      </c>
      <c r="M1653" t="s">
        <v>3027</v>
      </c>
    </row>
    <row r="1654" spans="2:13" x14ac:dyDescent="0.25">
      <c r="B1654" t="s">
        <v>3028</v>
      </c>
      <c r="C1654">
        <v>16330291</v>
      </c>
      <c r="D1654" t="str">
        <f>"4680297065843"</f>
        <v>4680297065843</v>
      </c>
      <c r="E1654" t="s">
        <v>3029</v>
      </c>
      <c r="F1654" t="s">
        <v>1919</v>
      </c>
      <c r="G1654">
        <v>1</v>
      </c>
      <c r="H1654" t="s">
        <v>18</v>
      </c>
      <c r="I1654" t="s">
        <v>16</v>
      </c>
      <c r="J1654" t="s">
        <v>1990</v>
      </c>
      <c r="L1654" t="s">
        <v>18</v>
      </c>
      <c r="M1654" t="s">
        <v>781</v>
      </c>
    </row>
    <row r="1655" spans="2:13" x14ac:dyDescent="0.25">
      <c r="B1655" t="s">
        <v>3028</v>
      </c>
      <c r="C1655">
        <v>16330303</v>
      </c>
      <c r="D1655" t="str">
        <f>"4680297065904"</f>
        <v>4680297065904</v>
      </c>
      <c r="E1655" t="s">
        <v>3030</v>
      </c>
      <c r="F1655" t="s">
        <v>1549</v>
      </c>
      <c r="G1655">
        <v>1</v>
      </c>
      <c r="H1655" t="s">
        <v>18</v>
      </c>
      <c r="I1655" t="s">
        <v>16</v>
      </c>
      <c r="J1655" t="s">
        <v>1990</v>
      </c>
      <c r="L1655" t="s">
        <v>18</v>
      </c>
      <c r="M1655" t="s">
        <v>781</v>
      </c>
    </row>
    <row r="1656" spans="2:13" x14ac:dyDescent="0.25">
      <c r="B1656" t="s">
        <v>3028</v>
      </c>
      <c r="C1656">
        <v>16330311</v>
      </c>
      <c r="D1656" t="str">
        <f>"4680297065898"</f>
        <v>4680297065898</v>
      </c>
      <c r="E1656" t="s">
        <v>3031</v>
      </c>
      <c r="F1656" t="s">
        <v>3032</v>
      </c>
      <c r="G1656">
        <v>1</v>
      </c>
      <c r="H1656" t="s">
        <v>18</v>
      </c>
      <c r="I1656" t="s">
        <v>16</v>
      </c>
      <c r="J1656" t="s">
        <v>1990</v>
      </c>
      <c r="L1656" t="s">
        <v>18</v>
      </c>
      <c r="M1656" t="s">
        <v>781</v>
      </c>
    </row>
    <row r="1657" spans="2:13" x14ac:dyDescent="0.25">
      <c r="B1657" t="s">
        <v>3028</v>
      </c>
      <c r="C1657">
        <v>16330320</v>
      </c>
      <c r="D1657" t="str">
        <f>"4680297065881"</f>
        <v>4680297065881</v>
      </c>
      <c r="E1657" t="s">
        <v>3033</v>
      </c>
      <c r="F1657" t="s">
        <v>1488</v>
      </c>
      <c r="G1657">
        <v>1</v>
      </c>
      <c r="H1657" t="s">
        <v>18</v>
      </c>
      <c r="I1657" t="s">
        <v>16</v>
      </c>
      <c r="J1657" t="s">
        <v>1990</v>
      </c>
      <c r="L1657" t="s">
        <v>18</v>
      </c>
      <c r="M1657" t="s">
        <v>781</v>
      </c>
    </row>
    <row r="1658" spans="2:13" x14ac:dyDescent="0.25">
      <c r="B1658" t="s">
        <v>3028</v>
      </c>
      <c r="C1658">
        <v>17763493</v>
      </c>
      <c r="D1658" t="str">
        <f>"8695024129848"</f>
        <v>8695024129848</v>
      </c>
      <c r="E1658" t="s">
        <v>3034</v>
      </c>
      <c r="F1658" t="s">
        <v>2920</v>
      </c>
      <c r="G1658">
        <v>1</v>
      </c>
      <c r="H1658" t="s">
        <v>18</v>
      </c>
      <c r="I1658" t="s">
        <v>16</v>
      </c>
      <c r="J1658" t="s">
        <v>1544</v>
      </c>
      <c r="L1658" t="s">
        <v>18</v>
      </c>
      <c r="M1658" t="s">
        <v>3035</v>
      </c>
    </row>
    <row r="1659" spans="2:13" x14ac:dyDescent="0.25">
      <c r="B1659" t="s">
        <v>3028</v>
      </c>
      <c r="C1659">
        <v>17763506</v>
      </c>
      <c r="D1659" t="str">
        <f>"8695024129879"</f>
        <v>8695024129879</v>
      </c>
      <c r="E1659" t="s">
        <v>3036</v>
      </c>
      <c r="F1659" t="s">
        <v>2257</v>
      </c>
      <c r="G1659">
        <v>1</v>
      </c>
      <c r="H1659" t="s">
        <v>18</v>
      </c>
      <c r="I1659" t="s">
        <v>16</v>
      </c>
      <c r="J1659" t="s">
        <v>1544</v>
      </c>
      <c r="L1659" t="s">
        <v>18</v>
      </c>
      <c r="M1659" t="s">
        <v>3035</v>
      </c>
    </row>
    <row r="1660" spans="2:13" x14ac:dyDescent="0.25">
      <c r="B1660" t="s">
        <v>3028</v>
      </c>
      <c r="C1660">
        <v>17763514</v>
      </c>
      <c r="D1660" t="str">
        <f>"8695024129862"</f>
        <v>8695024129862</v>
      </c>
      <c r="E1660" t="s">
        <v>3037</v>
      </c>
      <c r="F1660" t="s">
        <v>3038</v>
      </c>
      <c r="G1660">
        <v>1</v>
      </c>
      <c r="H1660" t="s">
        <v>18</v>
      </c>
      <c r="I1660" t="s">
        <v>16</v>
      </c>
      <c r="J1660" t="s">
        <v>1544</v>
      </c>
      <c r="L1660" t="s">
        <v>18</v>
      </c>
      <c r="M1660" t="s">
        <v>3035</v>
      </c>
    </row>
    <row r="1661" spans="2:13" x14ac:dyDescent="0.25">
      <c r="B1661" t="s">
        <v>3028</v>
      </c>
      <c r="C1661">
        <v>18567179</v>
      </c>
      <c r="D1661" t="str">
        <f>"4680018340402"</f>
        <v>4680018340402</v>
      </c>
      <c r="E1661" t="s">
        <v>3039</v>
      </c>
      <c r="F1661" t="s">
        <v>3040</v>
      </c>
      <c r="G1661">
        <v>1</v>
      </c>
      <c r="H1661" t="s">
        <v>18</v>
      </c>
      <c r="I1661" t="s">
        <v>680</v>
      </c>
      <c r="J1661" t="s">
        <v>1682</v>
      </c>
      <c r="L1661" t="s">
        <v>18</v>
      </c>
      <c r="M1661" t="s">
        <v>862</v>
      </c>
    </row>
    <row r="1662" spans="2:13" x14ac:dyDescent="0.25">
      <c r="B1662" t="s">
        <v>3041</v>
      </c>
      <c r="C1662">
        <v>16705531</v>
      </c>
      <c r="D1662" t="str">
        <f>"4660007800070"</f>
        <v>4660007800070</v>
      </c>
      <c r="E1662" t="s">
        <v>3042</v>
      </c>
      <c r="F1662" t="s">
        <v>21</v>
      </c>
      <c r="G1662">
        <v>1</v>
      </c>
      <c r="H1662" t="s">
        <v>18</v>
      </c>
      <c r="I1662" t="s">
        <v>16</v>
      </c>
      <c r="J1662" t="s">
        <v>3043</v>
      </c>
      <c r="L1662" t="s">
        <v>18</v>
      </c>
      <c r="M1662" t="s">
        <v>3044</v>
      </c>
    </row>
    <row r="1663" spans="2:13" x14ac:dyDescent="0.25">
      <c r="B1663" t="s">
        <v>3041</v>
      </c>
      <c r="C1663">
        <v>16705558</v>
      </c>
      <c r="D1663" t="str">
        <f>"4660007802234"</f>
        <v>4660007802234</v>
      </c>
      <c r="E1663" t="s">
        <v>3045</v>
      </c>
      <c r="F1663" t="s">
        <v>114</v>
      </c>
      <c r="G1663">
        <v>1</v>
      </c>
      <c r="H1663" t="s">
        <v>18</v>
      </c>
      <c r="I1663" t="s">
        <v>16</v>
      </c>
      <c r="J1663" t="s">
        <v>3043</v>
      </c>
      <c r="L1663" t="s">
        <v>18</v>
      </c>
      <c r="M1663" t="s">
        <v>3046</v>
      </c>
    </row>
    <row r="1664" spans="2:13" x14ac:dyDescent="0.25">
      <c r="B1664" t="s">
        <v>3047</v>
      </c>
      <c r="C1664">
        <v>16362436</v>
      </c>
      <c r="D1664" t="str">
        <f>"4607809820530"</f>
        <v>4607809820530</v>
      </c>
      <c r="E1664" t="s">
        <v>3048</v>
      </c>
      <c r="F1664" t="s">
        <v>14</v>
      </c>
      <c r="G1664">
        <v>1</v>
      </c>
      <c r="H1664" t="s">
        <v>18</v>
      </c>
      <c r="I1664" t="s">
        <v>16</v>
      </c>
      <c r="J1664" t="s">
        <v>3049</v>
      </c>
      <c r="L1664" t="s">
        <v>18</v>
      </c>
      <c r="M1664" t="s">
        <v>3050</v>
      </c>
    </row>
    <row r="1665" spans="2:13" x14ac:dyDescent="0.25">
      <c r="B1665" t="s">
        <v>3047</v>
      </c>
      <c r="C1665">
        <v>16362444</v>
      </c>
      <c r="D1665" t="str">
        <f>"4607809820523"</f>
        <v>4607809820523</v>
      </c>
      <c r="E1665" t="s">
        <v>3051</v>
      </c>
      <c r="F1665" t="s">
        <v>40</v>
      </c>
      <c r="G1665">
        <v>1</v>
      </c>
      <c r="H1665" t="s">
        <v>18</v>
      </c>
      <c r="I1665" t="s">
        <v>16</v>
      </c>
      <c r="J1665" t="s">
        <v>3049</v>
      </c>
      <c r="L1665" t="s">
        <v>18</v>
      </c>
      <c r="M1665" t="s">
        <v>3052</v>
      </c>
    </row>
    <row r="1666" spans="2:13" x14ac:dyDescent="0.25">
      <c r="B1666" t="s">
        <v>3047</v>
      </c>
      <c r="C1666">
        <v>16705523</v>
      </c>
      <c r="D1666" t="str">
        <f>"4660007802210"</f>
        <v>4660007802210</v>
      </c>
      <c r="E1666" t="s">
        <v>3053</v>
      </c>
      <c r="F1666" t="s">
        <v>34</v>
      </c>
      <c r="G1666">
        <v>1</v>
      </c>
      <c r="H1666" t="s">
        <v>18</v>
      </c>
      <c r="I1666" t="s">
        <v>16</v>
      </c>
      <c r="J1666" t="s">
        <v>3043</v>
      </c>
      <c r="L1666" t="s">
        <v>18</v>
      </c>
      <c r="M1666" t="s">
        <v>3054</v>
      </c>
    </row>
    <row r="1667" spans="2:13" x14ac:dyDescent="0.25">
      <c r="B1667" t="s">
        <v>3055</v>
      </c>
      <c r="C1667">
        <v>16705507</v>
      </c>
      <c r="D1667" t="str">
        <f>"4660007806423"</f>
        <v>4660007806423</v>
      </c>
      <c r="E1667" t="s">
        <v>3056</v>
      </c>
      <c r="F1667" t="s">
        <v>14</v>
      </c>
      <c r="G1667">
        <v>1</v>
      </c>
      <c r="H1667" t="s">
        <v>18</v>
      </c>
      <c r="I1667" t="s">
        <v>16</v>
      </c>
      <c r="J1667" t="s">
        <v>3043</v>
      </c>
      <c r="L1667" t="s">
        <v>18</v>
      </c>
      <c r="M1667" t="s">
        <v>3057</v>
      </c>
    </row>
    <row r="1668" spans="2:13" x14ac:dyDescent="0.25">
      <c r="B1668" t="s">
        <v>3058</v>
      </c>
      <c r="C1668">
        <v>11612010</v>
      </c>
      <c r="D1668" t="str">
        <f>"4607809820011"</f>
        <v>4607809820011</v>
      </c>
      <c r="E1668" t="s">
        <v>3059</v>
      </c>
      <c r="F1668" t="s">
        <v>485</v>
      </c>
      <c r="G1668">
        <v>1</v>
      </c>
      <c r="H1668" t="s">
        <v>18</v>
      </c>
      <c r="I1668" t="s">
        <v>16</v>
      </c>
      <c r="J1668" t="s">
        <v>3049</v>
      </c>
      <c r="L1668" t="s">
        <v>18</v>
      </c>
      <c r="M1668" t="s">
        <v>743</v>
      </c>
    </row>
    <row r="1669" spans="2:13" x14ac:dyDescent="0.25">
      <c r="B1669" t="s">
        <v>3058</v>
      </c>
      <c r="C1669">
        <v>11612213</v>
      </c>
      <c r="D1669" t="str">
        <f>"4607809820042"</f>
        <v>4607809820042</v>
      </c>
      <c r="E1669" t="s">
        <v>3060</v>
      </c>
      <c r="F1669" t="s">
        <v>268</v>
      </c>
      <c r="G1669">
        <v>1</v>
      </c>
      <c r="H1669" t="s">
        <v>18</v>
      </c>
      <c r="I1669" t="s">
        <v>16</v>
      </c>
      <c r="J1669" t="s">
        <v>3049</v>
      </c>
      <c r="L1669" t="s">
        <v>18</v>
      </c>
      <c r="M1669" t="s">
        <v>3061</v>
      </c>
    </row>
    <row r="1670" spans="2:13" x14ac:dyDescent="0.25">
      <c r="B1670" t="s">
        <v>3058</v>
      </c>
      <c r="C1670">
        <v>11837519</v>
      </c>
      <c r="D1670" t="str">
        <f>"4607809820035"</f>
        <v>4607809820035</v>
      </c>
      <c r="E1670" t="s">
        <v>3062</v>
      </c>
      <c r="F1670" t="s">
        <v>174</v>
      </c>
      <c r="G1670">
        <v>1</v>
      </c>
      <c r="H1670" t="s">
        <v>18</v>
      </c>
      <c r="I1670" t="s">
        <v>16</v>
      </c>
      <c r="J1670" t="s">
        <v>3049</v>
      </c>
      <c r="L1670" t="s">
        <v>18</v>
      </c>
      <c r="M1670" t="s">
        <v>2061</v>
      </c>
    </row>
    <row r="1671" spans="2:13" x14ac:dyDescent="0.25">
      <c r="B1671" t="s">
        <v>3058</v>
      </c>
      <c r="C1671">
        <v>11901445</v>
      </c>
      <c r="D1671" t="str">
        <f>"4607809820059"</f>
        <v>4607809820059</v>
      </c>
      <c r="E1671" t="s">
        <v>3063</v>
      </c>
      <c r="F1671" t="s">
        <v>525</v>
      </c>
      <c r="G1671">
        <v>1</v>
      </c>
      <c r="H1671" t="s">
        <v>18</v>
      </c>
      <c r="I1671" t="s">
        <v>16</v>
      </c>
      <c r="J1671" t="s">
        <v>3049</v>
      </c>
      <c r="L1671" t="s">
        <v>18</v>
      </c>
      <c r="M1671" t="s">
        <v>1621</v>
      </c>
    </row>
    <row r="1672" spans="2:13" x14ac:dyDescent="0.25">
      <c r="B1672" t="s">
        <v>3058</v>
      </c>
      <c r="C1672">
        <v>11901891</v>
      </c>
      <c r="D1672" t="str">
        <f>"4607809820028"</f>
        <v>4607809820028</v>
      </c>
      <c r="E1672" t="s">
        <v>3064</v>
      </c>
      <c r="F1672" t="s">
        <v>277</v>
      </c>
      <c r="G1672">
        <v>1</v>
      </c>
      <c r="H1672" t="s">
        <v>18</v>
      </c>
      <c r="I1672" t="s">
        <v>16</v>
      </c>
      <c r="J1672" t="s">
        <v>3049</v>
      </c>
      <c r="L1672" t="s">
        <v>18</v>
      </c>
      <c r="M1672" t="s">
        <v>248</v>
      </c>
    </row>
    <row r="1673" spans="2:13" x14ac:dyDescent="0.25">
      <c r="B1673" t="s">
        <v>3058</v>
      </c>
      <c r="C1673">
        <v>16362532</v>
      </c>
      <c r="D1673" t="str">
        <f>"4607809820356"</f>
        <v>4607809820356</v>
      </c>
      <c r="E1673" t="s">
        <v>3065</v>
      </c>
      <c r="F1673" t="s">
        <v>285</v>
      </c>
      <c r="G1673">
        <v>1</v>
      </c>
      <c r="H1673" t="s">
        <v>18</v>
      </c>
      <c r="I1673" t="s">
        <v>16</v>
      </c>
      <c r="J1673" t="s">
        <v>3049</v>
      </c>
      <c r="L1673" t="s">
        <v>18</v>
      </c>
      <c r="M1673" t="s">
        <v>747</v>
      </c>
    </row>
    <row r="1674" spans="2:13" x14ac:dyDescent="0.25">
      <c r="B1674" t="s">
        <v>3058</v>
      </c>
      <c r="C1674">
        <v>16705321</v>
      </c>
      <c r="D1674" t="str">
        <f>"4660007805501"</f>
        <v>4660007805501</v>
      </c>
      <c r="E1674" t="s">
        <v>3066</v>
      </c>
      <c r="F1674" t="s">
        <v>485</v>
      </c>
      <c r="G1674">
        <v>1</v>
      </c>
      <c r="H1674" t="s">
        <v>18</v>
      </c>
      <c r="I1674" t="s">
        <v>16</v>
      </c>
      <c r="J1674" t="s">
        <v>3043</v>
      </c>
      <c r="L1674" t="s">
        <v>18</v>
      </c>
      <c r="M1674" t="s">
        <v>3067</v>
      </c>
    </row>
    <row r="1675" spans="2:13" x14ac:dyDescent="0.25">
      <c r="B1675" t="s">
        <v>3058</v>
      </c>
      <c r="C1675">
        <v>16705494</v>
      </c>
      <c r="D1675" t="str">
        <f>"4660007800339"</f>
        <v>4660007800339</v>
      </c>
      <c r="E1675" t="s">
        <v>3068</v>
      </c>
      <c r="F1675" t="s">
        <v>389</v>
      </c>
      <c r="G1675">
        <v>1</v>
      </c>
      <c r="H1675" t="s">
        <v>18</v>
      </c>
      <c r="I1675" t="s">
        <v>16</v>
      </c>
      <c r="J1675" t="s">
        <v>3043</v>
      </c>
      <c r="L1675" t="s">
        <v>18</v>
      </c>
      <c r="M1675" t="s">
        <v>1621</v>
      </c>
    </row>
    <row r="1676" spans="2:13" x14ac:dyDescent="0.25">
      <c r="B1676" t="s">
        <v>3069</v>
      </c>
      <c r="C1676">
        <v>11612301</v>
      </c>
      <c r="D1676" t="str">
        <f>"4607809820066"</f>
        <v>4607809820066</v>
      </c>
      <c r="E1676" t="s">
        <v>3070</v>
      </c>
      <c r="F1676" t="s">
        <v>14</v>
      </c>
      <c r="G1676">
        <v>1</v>
      </c>
      <c r="H1676" t="s">
        <v>18</v>
      </c>
      <c r="I1676" t="s">
        <v>16</v>
      </c>
      <c r="J1676" t="s">
        <v>3049</v>
      </c>
      <c r="L1676" t="s">
        <v>18</v>
      </c>
      <c r="M1676" t="s">
        <v>2627</v>
      </c>
    </row>
    <row r="1677" spans="2:13" x14ac:dyDescent="0.25">
      <c r="B1677" t="s">
        <v>3069</v>
      </c>
      <c r="C1677">
        <v>11836225</v>
      </c>
      <c r="D1677" t="str">
        <f>"4813528000225"</f>
        <v>4813528000225</v>
      </c>
      <c r="E1677" t="s">
        <v>3071</v>
      </c>
      <c r="F1677" t="s">
        <v>366</v>
      </c>
      <c r="G1677">
        <v>1</v>
      </c>
      <c r="H1677" t="s">
        <v>18</v>
      </c>
      <c r="I1677" t="s">
        <v>16</v>
      </c>
      <c r="J1677" t="s">
        <v>1525</v>
      </c>
      <c r="L1677" t="s">
        <v>18</v>
      </c>
      <c r="M1677" t="s">
        <v>3072</v>
      </c>
    </row>
    <row r="1678" spans="2:13" x14ac:dyDescent="0.25">
      <c r="B1678" t="s">
        <v>3069</v>
      </c>
      <c r="C1678">
        <v>11836233</v>
      </c>
      <c r="D1678" t="str">
        <f>"4813528000249"</f>
        <v>4813528000249</v>
      </c>
      <c r="E1678" t="s">
        <v>3073</v>
      </c>
      <c r="F1678" t="s">
        <v>48</v>
      </c>
      <c r="G1678">
        <v>1</v>
      </c>
      <c r="H1678" t="s">
        <v>18</v>
      </c>
      <c r="I1678" t="s">
        <v>16</v>
      </c>
      <c r="J1678" t="s">
        <v>1525</v>
      </c>
      <c r="L1678" t="s">
        <v>18</v>
      </c>
      <c r="M1678" t="s">
        <v>3074</v>
      </c>
    </row>
    <row r="1679" spans="2:13" x14ac:dyDescent="0.25">
      <c r="B1679" t="s">
        <v>3069</v>
      </c>
      <c r="C1679">
        <v>11836241</v>
      </c>
      <c r="D1679" t="str">
        <f>"4813528000263"</f>
        <v>4813528000263</v>
      </c>
      <c r="E1679" t="s">
        <v>3075</v>
      </c>
      <c r="F1679" t="s">
        <v>525</v>
      </c>
      <c r="G1679">
        <v>1</v>
      </c>
      <c r="H1679" t="s">
        <v>18</v>
      </c>
      <c r="I1679" t="s">
        <v>16</v>
      </c>
      <c r="J1679" t="s">
        <v>1525</v>
      </c>
      <c r="L1679" t="s">
        <v>18</v>
      </c>
      <c r="M1679" t="s">
        <v>3076</v>
      </c>
    </row>
    <row r="1680" spans="2:13" x14ac:dyDescent="0.25">
      <c r="B1680" t="s">
        <v>3069</v>
      </c>
      <c r="C1680">
        <v>11836284</v>
      </c>
      <c r="D1680" t="str">
        <f>"4813528000256"</f>
        <v>4813528000256</v>
      </c>
      <c r="E1680" t="s">
        <v>3077</v>
      </c>
      <c r="F1680" t="s">
        <v>268</v>
      </c>
      <c r="G1680">
        <v>1</v>
      </c>
      <c r="H1680" t="s">
        <v>18</v>
      </c>
      <c r="I1680" t="s">
        <v>16</v>
      </c>
      <c r="J1680" t="s">
        <v>1525</v>
      </c>
      <c r="L1680" t="s">
        <v>18</v>
      </c>
      <c r="M1680" t="s">
        <v>1922</v>
      </c>
    </row>
    <row r="1681" spans="2:13" x14ac:dyDescent="0.25">
      <c r="B1681" t="s">
        <v>3069</v>
      </c>
      <c r="C1681">
        <v>11837500</v>
      </c>
      <c r="D1681" t="str">
        <f>"4607809820073"</f>
        <v>4607809820073</v>
      </c>
      <c r="E1681" t="s">
        <v>3078</v>
      </c>
      <c r="F1681" t="s">
        <v>295</v>
      </c>
      <c r="G1681">
        <v>1</v>
      </c>
      <c r="H1681" t="s">
        <v>18</v>
      </c>
      <c r="I1681" t="s">
        <v>16</v>
      </c>
      <c r="J1681" t="s">
        <v>3049</v>
      </c>
      <c r="L1681" t="s">
        <v>18</v>
      </c>
      <c r="M1681" t="s">
        <v>1714</v>
      </c>
    </row>
    <row r="1682" spans="2:13" x14ac:dyDescent="0.25">
      <c r="B1682" t="s">
        <v>3069</v>
      </c>
      <c r="C1682">
        <v>11837527</v>
      </c>
      <c r="D1682" t="str">
        <f>"4607809820080"</f>
        <v>4607809820080</v>
      </c>
      <c r="E1682" t="s">
        <v>3079</v>
      </c>
      <c r="F1682" t="s">
        <v>114</v>
      </c>
      <c r="G1682">
        <v>1</v>
      </c>
      <c r="H1682" t="s">
        <v>18</v>
      </c>
      <c r="I1682" t="s">
        <v>16</v>
      </c>
      <c r="J1682" t="s">
        <v>3049</v>
      </c>
      <c r="L1682" t="s">
        <v>18</v>
      </c>
      <c r="M1682" t="s">
        <v>2560</v>
      </c>
    </row>
    <row r="1683" spans="2:13" x14ac:dyDescent="0.25">
      <c r="B1683" t="s">
        <v>3069</v>
      </c>
      <c r="C1683">
        <v>11880621</v>
      </c>
      <c r="D1683" t="str">
        <f>"4813528000683"</f>
        <v>4813528000683</v>
      </c>
      <c r="E1683" t="s">
        <v>3080</v>
      </c>
      <c r="F1683" t="s">
        <v>191</v>
      </c>
      <c r="G1683">
        <v>1</v>
      </c>
      <c r="H1683" t="s">
        <v>18</v>
      </c>
      <c r="I1683" t="s">
        <v>16</v>
      </c>
      <c r="J1683" t="s">
        <v>1525</v>
      </c>
      <c r="L1683" t="s">
        <v>18</v>
      </c>
      <c r="M1683" t="s">
        <v>2089</v>
      </c>
    </row>
    <row r="1684" spans="2:13" x14ac:dyDescent="0.25">
      <c r="B1684" t="s">
        <v>3069</v>
      </c>
      <c r="C1684">
        <v>11898442</v>
      </c>
      <c r="D1684" t="str">
        <f>"4607809820097"</f>
        <v>4607809820097</v>
      </c>
      <c r="E1684" t="s">
        <v>3081</v>
      </c>
      <c r="F1684" t="s">
        <v>413</v>
      </c>
      <c r="G1684">
        <v>1</v>
      </c>
      <c r="H1684" t="s">
        <v>18</v>
      </c>
      <c r="I1684" t="s">
        <v>16</v>
      </c>
      <c r="J1684" t="s">
        <v>3049</v>
      </c>
      <c r="L1684" t="s">
        <v>18</v>
      </c>
      <c r="M1684" t="s">
        <v>3082</v>
      </c>
    </row>
    <row r="1685" spans="2:13" x14ac:dyDescent="0.25">
      <c r="B1685" t="s">
        <v>3069</v>
      </c>
      <c r="C1685">
        <v>11901357</v>
      </c>
      <c r="D1685" t="str">
        <f>"4607809820103"</f>
        <v>4607809820103</v>
      </c>
      <c r="E1685" t="s">
        <v>3083</v>
      </c>
      <c r="F1685" t="s">
        <v>310</v>
      </c>
      <c r="G1685">
        <v>1</v>
      </c>
      <c r="H1685" t="s">
        <v>18</v>
      </c>
      <c r="I1685" t="s">
        <v>16</v>
      </c>
      <c r="J1685" t="s">
        <v>3049</v>
      </c>
      <c r="L1685" t="s">
        <v>18</v>
      </c>
      <c r="M1685" t="s">
        <v>1637</v>
      </c>
    </row>
    <row r="1686" spans="2:13" x14ac:dyDescent="0.25">
      <c r="B1686" t="s">
        <v>3069</v>
      </c>
      <c r="C1686">
        <v>11901920</v>
      </c>
      <c r="D1686" t="str">
        <f>"4607809820127"</f>
        <v>4607809820127</v>
      </c>
      <c r="E1686" t="s">
        <v>3084</v>
      </c>
      <c r="F1686" t="s">
        <v>242</v>
      </c>
      <c r="G1686">
        <v>1</v>
      </c>
      <c r="H1686" t="s">
        <v>18</v>
      </c>
      <c r="I1686" t="s">
        <v>16</v>
      </c>
      <c r="J1686" t="s">
        <v>3049</v>
      </c>
      <c r="L1686" t="s">
        <v>18</v>
      </c>
      <c r="M1686" t="s">
        <v>248</v>
      </c>
    </row>
    <row r="1687" spans="2:13" x14ac:dyDescent="0.25">
      <c r="B1687" t="s">
        <v>3069</v>
      </c>
      <c r="C1687">
        <v>12462739</v>
      </c>
      <c r="D1687" t="str">
        <f>"4607809820134"</f>
        <v>4607809820134</v>
      </c>
      <c r="E1687" t="s">
        <v>3085</v>
      </c>
      <c r="F1687" t="s">
        <v>114</v>
      </c>
      <c r="G1687">
        <v>1</v>
      </c>
      <c r="H1687" t="s">
        <v>18</v>
      </c>
      <c r="I1687" t="s">
        <v>16</v>
      </c>
      <c r="J1687" t="s">
        <v>3049</v>
      </c>
      <c r="L1687" t="s">
        <v>18</v>
      </c>
      <c r="M1687" t="s">
        <v>3086</v>
      </c>
    </row>
    <row r="1688" spans="2:13" x14ac:dyDescent="0.25">
      <c r="B1688" t="s">
        <v>3069</v>
      </c>
      <c r="C1688">
        <v>12495864</v>
      </c>
      <c r="D1688" t="str">
        <f>"4607809820141"</f>
        <v>4607809820141</v>
      </c>
      <c r="E1688" t="s">
        <v>3087</v>
      </c>
      <c r="F1688" t="s">
        <v>185</v>
      </c>
      <c r="G1688">
        <v>1</v>
      </c>
      <c r="H1688" t="s">
        <v>18</v>
      </c>
      <c r="I1688" t="s">
        <v>16</v>
      </c>
      <c r="J1688" t="s">
        <v>3049</v>
      </c>
      <c r="L1688" t="s">
        <v>18</v>
      </c>
      <c r="M1688" t="s">
        <v>3088</v>
      </c>
    </row>
    <row r="1689" spans="2:13" x14ac:dyDescent="0.25">
      <c r="B1689" t="s">
        <v>3069</v>
      </c>
      <c r="C1689">
        <v>12495880</v>
      </c>
      <c r="D1689" t="str">
        <f>"4607809820158"</f>
        <v>4607809820158</v>
      </c>
      <c r="E1689" t="s">
        <v>3089</v>
      </c>
      <c r="F1689" t="s">
        <v>295</v>
      </c>
      <c r="G1689">
        <v>1</v>
      </c>
      <c r="H1689" t="s">
        <v>18</v>
      </c>
      <c r="I1689" t="s">
        <v>16</v>
      </c>
      <c r="J1689" t="s">
        <v>3049</v>
      </c>
      <c r="L1689" t="s">
        <v>18</v>
      </c>
      <c r="M1689" t="s">
        <v>3090</v>
      </c>
    </row>
    <row r="1690" spans="2:13" x14ac:dyDescent="0.25">
      <c r="B1690" t="s">
        <v>3069</v>
      </c>
      <c r="C1690">
        <v>12661893</v>
      </c>
      <c r="D1690" t="str">
        <f>"4607809820165"</f>
        <v>4607809820165</v>
      </c>
      <c r="E1690" t="s">
        <v>3091</v>
      </c>
      <c r="F1690" t="s">
        <v>410</v>
      </c>
      <c r="G1690">
        <v>1</v>
      </c>
      <c r="H1690" t="s">
        <v>18</v>
      </c>
      <c r="I1690" t="s">
        <v>16</v>
      </c>
      <c r="J1690" t="s">
        <v>3049</v>
      </c>
      <c r="L1690" t="s">
        <v>18</v>
      </c>
      <c r="M1690" t="s">
        <v>1639</v>
      </c>
    </row>
    <row r="1691" spans="2:13" x14ac:dyDescent="0.25">
      <c r="B1691" t="s">
        <v>3069</v>
      </c>
      <c r="C1691">
        <v>13337382</v>
      </c>
      <c r="D1691" t="str">
        <f>"4607809820400"</f>
        <v>4607809820400</v>
      </c>
      <c r="E1691" t="s">
        <v>3092</v>
      </c>
      <c r="F1691" t="s">
        <v>759</v>
      </c>
      <c r="G1691">
        <v>1</v>
      </c>
      <c r="H1691" t="s">
        <v>18</v>
      </c>
      <c r="I1691" t="s">
        <v>16</v>
      </c>
      <c r="J1691" t="s">
        <v>3049</v>
      </c>
      <c r="L1691" t="s">
        <v>18</v>
      </c>
      <c r="M1691" t="s">
        <v>3032</v>
      </c>
    </row>
    <row r="1692" spans="2:13" x14ac:dyDescent="0.25">
      <c r="B1692" t="s">
        <v>3069</v>
      </c>
      <c r="C1692">
        <v>13337390</v>
      </c>
      <c r="D1692" t="str">
        <f>"4607809820417"</f>
        <v>4607809820417</v>
      </c>
      <c r="E1692" t="s">
        <v>3093</v>
      </c>
      <c r="F1692" t="s">
        <v>847</v>
      </c>
      <c r="G1692">
        <v>1</v>
      </c>
      <c r="H1692" t="s">
        <v>18</v>
      </c>
      <c r="I1692" t="s">
        <v>16</v>
      </c>
      <c r="J1692" t="s">
        <v>3049</v>
      </c>
      <c r="L1692" t="s">
        <v>18</v>
      </c>
      <c r="M1692" t="s">
        <v>1977</v>
      </c>
    </row>
    <row r="1693" spans="2:13" x14ac:dyDescent="0.25">
      <c r="B1693" t="s">
        <v>3069</v>
      </c>
      <c r="C1693">
        <v>14219222</v>
      </c>
      <c r="D1693" t="str">
        <f>"4607809820172"</f>
        <v>4607809820172</v>
      </c>
      <c r="E1693" t="s">
        <v>3094</v>
      </c>
      <c r="F1693" t="s">
        <v>2257</v>
      </c>
      <c r="G1693">
        <v>1</v>
      </c>
      <c r="H1693" t="s">
        <v>18</v>
      </c>
      <c r="I1693" t="s">
        <v>16</v>
      </c>
      <c r="J1693" t="s">
        <v>3049</v>
      </c>
      <c r="L1693" t="s">
        <v>18</v>
      </c>
      <c r="M1693" t="s">
        <v>328</v>
      </c>
    </row>
    <row r="1694" spans="2:13" x14ac:dyDescent="0.25">
      <c r="B1694" t="s">
        <v>3069</v>
      </c>
      <c r="C1694">
        <v>14219249</v>
      </c>
      <c r="D1694" t="str">
        <f>"4607809820189"</f>
        <v>4607809820189</v>
      </c>
      <c r="E1694" t="s">
        <v>3095</v>
      </c>
      <c r="F1694" t="s">
        <v>3096</v>
      </c>
      <c r="G1694">
        <v>1</v>
      </c>
      <c r="H1694" t="s">
        <v>18</v>
      </c>
      <c r="I1694" t="s">
        <v>16</v>
      </c>
      <c r="J1694" t="s">
        <v>3049</v>
      </c>
      <c r="L1694" t="s">
        <v>18</v>
      </c>
      <c r="M1694" t="s">
        <v>1020</v>
      </c>
    </row>
    <row r="1695" spans="2:13" x14ac:dyDescent="0.25">
      <c r="B1695" t="s">
        <v>3069</v>
      </c>
      <c r="C1695">
        <v>14219302</v>
      </c>
      <c r="D1695" t="str">
        <f>"4607809820219"</f>
        <v>4607809820219</v>
      </c>
      <c r="E1695" t="s">
        <v>3097</v>
      </c>
      <c r="F1695" t="s">
        <v>2553</v>
      </c>
      <c r="G1695">
        <v>1</v>
      </c>
      <c r="H1695" t="s">
        <v>18</v>
      </c>
      <c r="I1695" t="s">
        <v>16</v>
      </c>
      <c r="J1695" t="s">
        <v>3049</v>
      </c>
      <c r="L1695" t="s">
        <v>18</v>
      </c>
      <c r="M1695" t="s">
        <v>1536</v>
      </c>
    </row>
    <row r="1696" spans="2:13" x14ac:dyDescent="0.25">
      <c r="B1696" t="s">
        <v>3069</v>
      </c>
      <c r="C1696">
        <v>14219337</v>
      </c>
      <c r="D1696" t="str">
        <f>"4607809820226"</f>
        <v>4607809820226</v>
      </c>
      <c r="E1696" t="s">
        <v>3098</v>
      </c>
      <c r="F1696" t="s">
        <v>1162</v>
      </c>
      <c r="G1696">
        <v>1</v>
      </c>
      <c r="H1696" t="s">
        <v>18</v>
      </c>
      <c r="I1696" t="s">
        <v>16</v>
      </c>
      <c r="J1696" t="s">
        <v>3049</v>
      </c>
      <c r="L1696" t="s">
        <v>18</v>
      </c>
      <c r="M1696" t="s">
        <v>1161</v>
      </c>
    </row>
    <row r="1697" spans="2:13" x14ac:dyDescent="0.25">
      <c r="B1697" t="s">
        <v>3069</v>
      </c>
      <c r="C1697">
        <v>14219353</v>
      </c>
      <c r="D1697" t="str">
        <f>"4607809820240"</f>
        <v>4607809820240</v>
      </c>
      <c r="E1697" t="s">
        <v>3099</v>
      </c>
      <c r="F1697" t="s">
        <v>1886</v>
      </c>
      <c r="G1697">
        <v>1</v>
      </c>
      <c r="H1697" t="s">
        <v>18</v>
      </c>
      <c r="I1697" t="s">
        <v>16</v>
      </c>
      <c r="J1697" t="s">
        <v>3049</v>
      </c>
      <c r="L1697" t="s">
        <v>18</v>
      </c>
      <c r="M1697" t="s">
        <v>2365</v>
      </c>
    </row>
    <row r="1698" spans="2:13" x14ac:dyDescent="0.25">
      <c r="B1698" t="s">
        <v>3069</v>
      </c>
      <c r="C1698">
        <v>14229893</v>
      </c>
      <c r="D1698" t="str">
        <f>"4813528000058"</f>
        <v>4813528000058</v>
      </c>
      <c r="E1698" t="s">
        <v>3100</v>
      </c>
      <c r="F1698" t="s">
        <v>389</v>
      </c>
      <c r="G1698">
        <v>1</v>
      </c>
      <c r="H1698" t="s">
        <v>18</v>
      </c>
      <c r="I1698" t="s">
        <v>16</v>
      </c>
      <c r="J1698" t="s">
        <v>1525</v>
      </c>
      <c r="L1698" t="s">
        <v>18</v>
      </c>
      <c r="M1698" t="s">
        <v>3101</v>
      </c>
    </row>
    <row r="1699" spans="2:13" x14ac:dyDescent="0.25">
      <c r="B1699" t="s">
        <v>3069</v>
      </c>
      <c r="C1699">
        <v>16362292</v>
      </c>
      <c r="D1699" t="str">
        <f>"4607809820257"</f>
        <v>4607809820257</v>
      </c>
      <c r="E1699" t="s">
        <v>3102</v>
      </c>
      <c r="F1699" t="s">
        <v>285</v>
      </c>
      <c r="G1699">
        <v>1</v>
      </c>
      <c r="H1699" t="s">
        <v>18</v>
      </c>
      <c r="I1699" t="s">
        <v>16</v>
      </c>
      <c r="J1699" t="s">
        <v>3049</v>
      </c>
      <c r="L1699" t="s">
        <v>18</v>
      </c>
      <c r="M1699" t="s">
        <v>627</v>
      </c>
    </row>
    <row r="1700" spans="2:13" x14ac:dyDescent="0.25">
      <c r="B1700" t="s">
        <v>3069</v>
      </c>
      <c r="C1700">
        <v>16362305</v>
      </c>
      <c r="D1700" t="str">
        <f>"4607809820264"</f>
        <v>4607809820264</v>
      </c>
      <c r="E1700" t="s">
        <v>3103</v>
      </c>
      <c r="F1700" t="s">
        <v>40</v>
      </c>
      <c r="G1700">
        <v>1</v>
      </c>
      <c r="H1700" t="s">
        <v>18</v>
      </c>
      <c r="I1700" t="s">
        <v>16</v>
      </c>
      <c r="J1700" t="s">
        <v>3049</v>
      </c>
      <c r="L1700" t="s">
        <v>18</v>
      </c>
      <c r="M1700" t="s">
        <v>3104</v>
      </c>
    </row>
    <row r="1701" spans="2:13" x14ac:dyDescent="0.25">
      <c r="B1701" t="s">
        <v>3069</v>
      </c>
      <c r="C1701">
        <v>16362313</v>
      </c>
      <c r="D1701" t="str">
        <f>"4607809820271"</f>
        <v>4607809820271</v>
      </c>
      <c r="E1701" t="s">
        <v>3105</v>
      </c>
      <c r="F1701" t="s">
        <v>366</v>
      </c>
      <c r="G1701">
        <v>1</v>
      </c>
      <c r="H1701" t="s">
        <v>18</v>
      </c>
      <c r="I1701" t="s">
        <v>16</v>
      </c>
      <c r="J1701" t="s">
        <v>3049</v>
      </c>
      <c r="L1701" t="s">
        <v>18</v>
      </c>
      <c r="M1701" t="s">
        <v>2040</v>
      </c>
    </row>
    <row r="1702" spans="2:13" x14ac:dyDescent="0.25">
      <c r="B1702" t="s">
        <v>3069</v>
      </c>
      <c r="C1702">
        <v>16362321</v>
      </c>
      <c r="D1702" t="str">
        <f>"4607809820288"</f>
        <v>4607809820288</v>
      </c>
      <c r="E1702" t="s">
        <v>3106</v>
      </c>
      <c r="F1702" t="s">
        <v>1434</v>
      </c>
      <c r="G1702">
        <v>1</v>
      </c>
      <c r="H1702" t="s">
        <v>18</v>
      </c>
      <c r="I1702" t="s">
        <v>16</v>
      </c>
      <c r="J1702" t="s">
        <v>3049</v>
      </c>
      <c r="L1702" t="s">
        <v>18</v>
      </c>
      <c r="M1702" t="s">
        <v>2130</v>
      </c>
    </row>
    <row r="1703" spans="2:13" x14ac:dyDescent="0.25">
      <c r="B1703" t="s">
        <v>3069</v>
      </c>
      <c r="C1703">
        <v>16362356</v>
      </c>
      <c r="D1703" t="str">
        <f>"4607809820318"</f>
        <v>4607809820318</v>
      </c>
      <c r="E1703" t="s">
        <v>3107</v>
      </c>
      <c r="F1703" t="s">
        <v>649</v>
      </c>
      <c r="G1703">
        <v>1</v>
      </c>
      <c r="H1703" t="s">
        <v>18</v>
      </c>
      <c r="I1703" t="s">
        <v>16</v>
      </c>
      <c r="J1703" t="s">
        <v>3049</v>
      </c>
      <c r="L1703" t="s">
        <v>18</v>
      </c>
      <c r="M1703" t="s">
        <v>3108</v>
      </c>
    </row>
    <row r="1704" spans="2:13" x14ac:dyDescent="0.25">
      <c r="B1704" t="s">
        <v>3069</v>
      </c>
      <c r="C1704">
        <v>16362364</v>
      </c>
      <c r="D1704" t="str">
        <f>"4607809820325"</f>
        <v>4607809820325</v>
      </c>
      <c r="E1704" t="s">
        <v>3109</v>
      </c>
      <c r="F1704" t="s">
        <v>34</v>
      </c>
      <c r="G1704">
        <v>1</v>
      </c>
      <c r="H1704" t="s">
        <v>18</v>
      </c>
      <c r="I1704" t="s">
        <v>16</v>
      </c>
      <c r="J1704" t="s">
        <v>3049</v>
      </c>
      <c r="L1704" t="s">
        <v>18</v>
      </c>
      <c r="M1704" t="s">
        <v>562</v>
      </c>
    </row>
    <row r="1705" spans="2:13" x14ac:dyDescent="0.25">
      <c r="B1705" t="s">
        <v>3069</v>
      </c>
      <c r="C1705">
        <v>16362372</v>
      </c>
      <c r="D1705" t="str">
        <f>"4607809820332"</f>
        <v>4607809820332</v>
      </c>
      <c r="E1705" t="s">
        <v>3110</v>
      </c>
      <c r="F1705" t="s">
        <v>34</v>
      </c>
      <c r="G1705">
        <v>1</v>
      </c>
      <c r="H1705" t="s">
        <v>18</v>
      </c>
      <c r="I1705" t="s">
        <v>16</v>
      </c>
      <c r="J1705" t="s">
        <v>3049</v>
      </c>
      <c r="L1705" t="s">
        <v>18</v>
      </c>
      <c r="M1705" t="s">
        <v>1665</v>
      </c>
    </row>
    <row r="1706" spans="2:13" x14ac:dyDescent="0.25">
      <c r="B1706" t="s">
        <v>3069</v>
      </c>
      <c r="C1706">
        <v>16362381</v>
      </c>
      <c r="D1706" t="str">
        <f>"4607809820349"</f>
        <v>4607809820349</v>
      </c>
      <c r="E1706" t="s">
        <v>3111</v>
      </c>
      <c r="F1706" t="s">
        <v>109</v>
      </c>
      <c r="G1706">
        <v>1</v>
      </c>
      <c r="H1706" t="s">
        <v>18</v>
      </c>
      <c r="I1706" t="s">
        <v>16</v>
      </c>
      <c r="J1706" t="s">
        <v>3049</v>
      </c>
      <c r="L1706" t="s">
        <v>18</v>
      </c>
      <c r="M1706" t="s">
        <v>1698</v>
      </c>
    </row>
    <row r="1707" spans="2:13" x14ac:dyDescent="0.25">
      <c r="B1707" t="s">
        <v>3069</v>
      </c>
      <c r="C1707">
        <v>16362401</v>
      </c>
      <c r="D1707" t="str">
        <f>"4607809820363"</f>
        <v>4607809820363</v>
      </c>
      <c r="E1707" t="s">
        <v>3112</v>
      </c>
      <c r="F1707" t="s">
        <v>48</v>
      </c>
      <c r="G1707">
        <v>1</v>
      </c>
      <c r="H1707" t="s">
        <v>18</v>
      </c>
      <c r="I1707" t="s">
        <v>16</v>
      </c>
      <c r="J1707" t="s">
        <v>3049</v>
      </c>
      <c r="L1707" t="s">
        <v>18</v>
      </c>
      <c r="M1707" t="s">
        <v>3113</v>
      </c>
    </row>
    <row r="1708" spans="2:13" x14ac:dyDescent="0.25">
      <c r="B1708" t="s">
        <v>3069</v>
      </c>
      <c r="C1708">
        <v>16362428</v>
      </c>
      <c r="D1708" t="str">
        <f>"4607809820387"</f>
        <v>4607809820387</v>
      </c>
      <c r="E1708" t="s">
        <v>3114</v>
      </c>
      <c r="F1708" t="s">
        <v>21</v>
      </c>
      <c r="G1708">
        <v>1</v>
      </c>
      <c r="H1708" t="s">
        <v>18</v>
      </c>
      <c r="I1708" t="s">
        <v>16</v>
      </c>
      <c r="J1708" t="s">
        <v>3049</v>
      </c>
      <c r="L1708" t="s">
        <v>18</v>
      </c>
      <c r="M1708" t="s">
        <v>3115</v>
      </c>
    </row>
    <row r="1709" spans="2:13" x14ac:dyDescent="0.25">
      <c r="B1709" t="s">
        <v>3069</v>
      </c>
      <c r="C1709">
        <v>16385304</v>
      </c>
      <c r="D1709" t="str">
        <f>"4607809820516"</f>
        <v>4607809820516</v>
      </c>
      <c r="E1709" t="s">
        <v>3116</v>
      </c>
      <c r="F1709" t="s">
        <v>1692</v>
      </c>
      <c r="G1709">
        <v>1</v>
      </c>
      <c r="H1709" t="s">
        <v>18</v>
      </c>
      <c r="I1709" t="s">
        <v>16</v>
      </c>
      <c r="J1709" t="s">
        <v>3049</v>
      </c>
      <c r="L1709" t="s">
        <v>18</v>
      </c>
      <c r="M1709" t="s">
        <v>3117</v>
      </c>
    </row>
    <row r="1710" spans="2:13" x14ac:dyDescent="0.25">
      <c r="B1710" t="s">
        <v>3069</v>
      </c>
      <c r="C1710">
        <v>16705540</v>
      </c>
      <c r="D1710" t="str">
        <f>"4660007802371"</f>
        <v>4660007802371</v>
      </c>
      <c r="E1710" t="s">
        <v>3118</v>
      </c>
      <c r="F1710" t="s">
        <v>43</v>
      </c>
      <c r="G1710">
        <v>1</v>
      </c>
      <c r="H1710" t="s">
        <v>18</v>
      </c>
      <c r="I1710" t="s">
        <v>16</v>
      </c>
      <c r="J1710" t="s">
        <v>3043</v>
      </c>
      <c r="L1710" t="s">
        <v>18</v>
      </c>
      <c r="M1710" t="s">
        <v>3119</v>
      </c>
    </row>
    <row r="1711" spans="2:13" x14ac:dyDescent="0.25">
      <c r="B1711" t="s">
        <v>3120</v>
      </c>
      <c r="C1711">
        <v>16362399</v>
      </c>
      <c r="D1711" t="str">
        <f>"4607809820394"</f>
        <v>4607809820394</v>
      </c>
      <c r="E1711" t="s">
        <v>3121</v>
      </c>
      <c r="F1711" t="s">
        <v>21</v>
      </c>
      <c r="G1711">
        <v>1</v>
      </c>
      <c r="H1711" t="s">
        <v>18</v>
      </c>
      <c r="I1711" t="s">
        <v>16</v>
      </c>
      <c r="J1711" t="s">
        <v>3049</v>
      </c>
      <c r="L1711" t="s">
        <v>18</v>
      </c>
      <c r="M1711" t="s">
        <v>2040</v>
      </c>
    </row>
    <row r="1712" spans="2:13" x14ac:dyDescent="0.25">
      <c r="B1712" t="s">
        <v>3120</v>
      </c>
      <c r="C1712">
        <v>16705515</v>
      </c>
      <c r="D1712" t="str">
        <f>"4660007802937"</f>
        <v>4660007802937</v>
      </c>
      <c r="E1712" t="s">
        <v>3122</v>
      </c>
      <c r="F1712" t="s">
        <v>31</v>
      </c>
      <c r="G1712">
        <v>1</v>
      </c>
      <c r="H1712" t="s">
        <v>18</v>
      </c>
      <c r="I1712" t="s">
        <v>16</v>
      </c>
      <c r="J1712" t="s">
        <v>3043</v>
      </c>
      <c r="L1712" t="s">
        <v>18</v>
      </c>
      <c r="M1712" t="s">
        <v>3123</v>
      </c>
    </row>
    <row r="1713" spans="2:13" x14ac:dyDescent="0.25">
      <c r="B1713" t="s">
        <v>3124</v>
      </c>
      <c r="C1713">
        <v>14219257</v>
      </c>
      <c r="D1713" t="str">
        <f>"4607809820196"</f>
        <v>4607809820196</v>
      </c>
      <c r="E1713" t="s">
        <v>3125</v>
      </c>
      <c r="F1713" t="s">
        <v>1768</v>
      </c>
      <c r="G1713">
        <v>1</v>
      </c>
      <c r="H1713" t="s">
        <v>18</v>
      </c>
      <c r="I1713" t="s">
        <v>51</v>
      </c>
      <c r="J1713" t="s">
        <v>3049</v>
      </c>
      <c r="L1713" t="s">
        <v>18</v>
      </c>
      <c r="M1713" t="s">
        <v>971</v>
      </c>
    </row>
    <row r="1714" spans="2:13" x14ac:dyDescent="0.25">
      <c r="B1714" t="s">
        <v>3124</v>
      </c>
      <c r="C1714">
        <v>14219273</v>
      </c>
      <c r="D1714" t="str">
        <f>"4607809820202"</f>
        <v>4607809820202</v>
      </c>
      <c r="E1714" t="s">
        <v>3126</v>
      </c>
      <c r="F1714" t="s">
        <v>1997</v>
      </c>
      <c r="G1714">
        <v>1</v>
      </c>
      <c r="H1714" t="s">
        <v>18</v>
      </c>
      <c r="I1714" t="s">
        <v>51</v>
      </c>
      <c r="J1714" t="s">
        <v>3049</v>
      </c>
      <c r="L1714" t="s">
        <v>18</v>
      </c>
      <c r="M1714" t="s">
        <v>1045</v>
      </c>
    </row>
    <row r="1715" spans="2:13" x14ac:dyDescent="0.25">
      <c r="B1715" t="s">
        <v>3124</v>
      </c>
      <c r="C1715">
        <v>14219345</v>
      </c>
      <c r="D1715" t="str">
        <f>"4607809820233"</f>
        <v>4607809820233</v>
      </c>
      <c r="E1715" t="s">
        <v>3127</v>
      </c>
      <c r="F1715" t="s">
        <v>1997</v>
      </c>
      <c r="G1715">
        <v>1</v>
      </c>
      <c r="H1715" t="s">
        <v>18</v>
      </c>
      <c r="I1715" t="s">
        <v>51</v>
      </c>
      <c r="J1715" t="s">
        <v>3049</v>
      </c>
      <c r="L1715" t="s">
        <v>18</v>
      </c>
      <c r="M1715" t="s">
        <v>2544</v>
      </c>
    </row>
    <row r="1716" spans="2:13" x14ac:dyDescent="0.25">
      <c r="B1716" t="s">
        <v>3124</v>
      </c>
      <c r="C1716">
        <v>16705486</v>
      </c>
      <c r="D1716" t="str">
        <f>"4660007805488"</f>
        <v>4660007805488</v>
      </c>
      <c r="E1716" t="s">
        <v>3128</v>
      </c>
      <c r="F1716" t="s">
        <v>485</v>
      </c>
      <c r="G1716">
        <v>1</v>
      </c>
      <c r="H1716" t="s">
        <v>18</v>
      </c>
      <c r="I1716" t="s">
        <v>16</v>
      </c>
      <c r="J1716" t="s">
        <v>3043</v>
      </c>
      <c r="L1716" t="s">
        <v>18</v>
      </c>
      <c r="M1716" t="s">
        <v>773</v>
      </c>
    </row>
    <row r="1717" spans="2:13" x14ac:dyDescent="0.25">
      <c r="B1717" t="s">
        <v>3124</v>
      </c>
      <c r="C1717">
        <v>16705566</v>
      </c>
      <c r="D1717" t="str">
        <f>"4660007800162"</f>
        <v>4660007800162</v>
      </c>
      <c r="E1717" t="s">
        <v>3129</v>
      </c>
      <c r="F1717" t="s">
        <v>21</v>
      </c>
      <c r="G1717">
        <v>1</v>
      </c>
      <c r="H1717" t="s">
        <v>18</v>
      </c>
      <c r="I1717" t="s">
        <v>16</v>
      </c>
      <c r="J1717" t="s">
        <v>3043</v>
      </c>
      <c r="L1717" t="s">
        <v>18</v>
      </c>
      <c r="M1717" t="s">
        <v>3130</v>
      </c>
    </row>
    <row r="1718" spans="2:13" x14ac:dyDescent="0.25">
      <c r="B1718" t="s">
        <v>3131</v>
      </c>
      <c r="C1718">
        <v>14382505</v>
      </c>
      <c r="D1718" t="str">
        <f>"4630021680361"</f>
        <v>4630021680361</v>
      </c>
      <c r="E1718" t="s">
        <v>3132</v>
      </c>
      <c r="F1718" t="s">
        <v>410</v>
      </c>
      <c r="G1718">
        <v>1</v>
      </c>
      <c r="H1718" t="s">
        <v>18</v>
      </c>
      <c r="I1718" t="s">
        <v>16</v>
      </c>
      <c r="J1718" t="s">
        <v>1525</v>
      </c>
      <c r="L1718" t="s">
        <v>18</v>
      </c>
      <c r="M1718" t="s">
        <v>3133</v>
      </c>
    </row>
    <row r="1719" spans="2:13" x14ac:dyDescent="0.25">
      <c r="B1719" t="s">
        <v>3131</v>
      </c>
      <c r="C1719">
        <v>14382513</v>
      </c>
      <c r="D1719" t="str">
        <f>"4630021680378"</f>
        <v>4630021680378</v>
      </c>
      <c r="E1719" t="s">
        <v>3134</v>
      </c>
      <c r="F1719" t="s">
        <v>252</v>
      </c>
      <c r="G1719">
        <v>1</v>
      </c>
      <c r="H1719" t="s">
        <v>18</v>
      </c>
      <c r="I1719" t="s">
        <v>16</v>
      </c>
      <c r="J1719" t="s">
        <v>1525</v>
      </c>
      <c r="L1719" t="s">
        <v>18</v>
      </c>
      <c r="M1719" t="s">
        <v>2103</v>
      </c>
    </row>
    <row r="1720" spans="2:13" x14ac:dyDescent="0.25">
      <c r="B1720" t="s">
        <v>3131</v>
      </c>
      <c r="C1720">
        <v>14382521</v>
      </c>
      <c r="D1720" t="str">
        <f>"4630021680385"</f>
        <v>4630021680385</v>
      </c>
      <c r="E1720" t="s">
        <v>3135</v>
      </c>
      <c r="F1720" t="s">
        <v>34</v>
      </c>
      <c r="G1720">
        <v>1</v>
      </c>
      <c r="H1720" t="s">
        <v>18</v>
      </c>
      <c r="I1720" t="s">
        <v>16</v>
      </c>
      <c r="J1720" t="s">
        <v>1525</v>
      </c>
      <c r="L1720" t="s">
        <v>18</v>
      </c>
      <c r="M1720" t="s">
        <v>3136</v>
      </c>
    </row>
    <row r="1721" spans="2:13" x14ac:dyDescent="0.25">
      <c r="B1721" t="s">
        <v>3131</v>
      </c>
      <c r="C1721">
        <v>14382572</v>
      </c>
      <c r="D1721" t="str">
        <f>"4630021680415"</f>
        <v>4630021680415</v>
      </c>
      <c r="E1721" t="s">
        <v>3137</v>
      </c>
      <c r="F1721" t="s">
        <v>252</v>
      </c>
      <c r="G1721">
        <v>1</v>
      </c>
      <c r="H1721" t="s">
        <v>18</v>
      </c>
      <c r="I1721" t="s">
        <v>16</v>
      </c>
      <c r="J1721" t="s">
        <v>1525</v>
      </c>
      <c r="L1721" t="s">
        <v>18</v>
      </c>
      <c r="M1721" t="s">
        <v>1743</v>
      </c>
    </row>
    <row r="1722" spans="2:13" x14ac:dyDescent="0.25">
      <c r="B1722" t="s">
        <v>3131</v>
      </c>
      <c r="C1722">
        <v>16362541</v>
      </c>
      <c r="D1722" t="str">
        <f>"4607809820646"</f>
        <v>4607809820646</v>
      </c>
      <c r="E1722" t="s">
        <v>3138</v>
      </c>
      <c r="F1722" t="s">
        <v>410</v>
      </c>
      <c r="G1722">
        <v>1</v>
      </c>
      <c r="H1722" t="s">
        <v>18</v>
      </c>
      <c r="I1722" t="s">
        <v>16</v>
      </c>
      <c r="J1722" t="s">
        <v>3049</v>
      </c>
      <c r="L1722" t="s">
        <v>18</v>
      </c>
      <c r="M1722" t="s">
        <v>2290</v>
      </c>
    </row>
    <row r="1723" spans="2:13" x14ac:dyDescent="0.25">
      <c r="B1723" t="s">
        <v>3139</v>
      </c>
      <c r="C1723">
        <v>14838322</v>
      </c>
      <c r="D1723" t="str">
        <f>"4607809820424"</f>
        <v>4607809820424</v>
      </c>
      <c r="E1723" t="s">
        <v>3140</v>
      </c>
      <c r="F1723" t="s">
        <v>609</v>
      </c>
      <c r="G1723">
        <v>1</v>
      </c>
      <c r="H1723" t="s">
        <v>18</v>
      </c>
      <c r="I1723" t="s">
        <v>16</v>
      </c>
      <c r="J1723" t="s">
        <v>3049</v>
      </c>
      <c r="L1723" t="s">
        <v>18</v>
      </c>
      <c r="M1723" t="s">
        <v>3141</v>
      </c>
    </row>
    <row r="1724" spans="2:13" x14ac:dyDescent="0.25">
      <c r="B1724" t="s">
        <v>3139</v>
      </c>
      <c r="C1724">
        <v>14838331</v>
      </c>
      <c r="D1724" t="str">
        <f>"4607809820431"</f>
        <v>4607809820431</v>
      </c>
      <c r="E1724" t="s">
        <v>3142</v>
      </c>
      <c r="F1724" t="s">
        <v>268</v>
      </c>
      <c r="G1724">
        <v>1</v>
      </c>
      <c r="H1724" t="s">
        <v>18</v>
      </c>
      <c r="I1724" t="s">
        <v>16</v>
      </c>
      <c r="J1724" t="s">
        <v>3049</v>
      </c>
      <c r="L1724" t="s">
        <v>18</v>
      </c>
      <c r="M1724" t="s">
        <v>1161</v>
      </c>
    </row>
    <row r="1725" spans="2:13" x14ac:dyDescent="0.25">
      <c r="B1725" t="s">
        <v>3139</v>
      </c>
      <c r="C1725">
        <v>16362487</v>
      </c>
      <c r="D1725" t="str">
        <f>"4607809820448"</f>
        <v>4607809820448</v>
      </c>
      <c r="E1725" t="s">
        <v>3143</v>
      </c>
      <c r="F1725" t="s">
        <v>268</v>
      </c>
      <c r="G1725">
        <v>1</v>
      </c>
      <c r="H1725" t="s">
        <v>18</v>
      </c>
      <c r="I1725" t="s">
        <v>16</v>
      </c>
      <c r="J1725" t="s">
        <v>3049</v>
      </c>
      <c r="L1725" t="s">
        <v>18</v>
      </c>
      <c r="M1725" t="s">
        <v>3144</v>
      </c>
    </row>
    <row r="1726" spans="2:13" x14ac:dyDescent="0.25">
      <c r="B1726" t="s">
        <v>3139</v>
      </c>
      <c r="C1726">
        <v>16362495</v>
      </c>
      <c r="D1726" t="str">
        <f>"4607809820455"</f>
        <v>4607809820455</v>
      </c>
      <c r="E1726" t="s">
        <v>3145</v>
      </c>
      <c r="F1726" t="s">
        <v>1025</v>
      </c>
      <c r="G1726">
        <v>1</v>
      </c>
      <c r="H1726" t="s">
        <v>18</v>
      </c>
      <c r="I1726" t="s">
        <v>16</v>
      </c>
      <c r="J1726" t="s">
        <v>3049</v>
      </c>
      <c r="L1726" t="s">
        <v>18</v>
      </c>
      <c r="M1726" t="s">
        <v>1574</v>
      </c>
    </row>
    <row r="1727" spans="2:13" x14ac:dyDescent="0.25">
      <c r="B1727" t="s">
        <v>3139</v>
      </c>
      <c r="C1727">
        <v>16362508</v>
      </c>
      <c r="D1727" t="str">
        <f>"4607809820462"</f>
        <v>4607809820462</v>
      </c>
      <c r="E1727" t="s">
        <v>3146</v>
      </c>
      <c r="F1727" t="s">
        <v>24</v>
      </c>
      <c r="G1727">
        <v>1</v>
      </c>
      <c r="H1727" t="s">
        <v>18</v>
      </c>
      <c r="I1727" t="s">
        <v>16</v>
      </c>
      <c r="J1727" t="s">
        <v>3049</v>
      </c>
      <c r="L1727" t="s">
        <v>18</v>
      </c>
      <c r="M1727" t="s">
        <v>783</v>
      </c>
    </row>
    <row r="1728" spans="2:13" x14ac:dyDescent="0.25">
      <c r="B1728" t="s">
        <v>3139</v>
      </c>
      <c r="C1728">
        <v>16362516</v>
      </c>
      <c r="D1728" t="str">
        <f>"4607809820479"</f>
        <v>4607809820479</v>
      </c>
      <c r="E1728" t="s">
        <v>3147</v>
      </c>
      <c r="F1728" t="s">
        <v>295</v>
      </c>
      <c r="G1728">
        <v>1</v>
      </c>
      <c r="H1728" t="s">
        <v>18</v>
      </c>
      <c r="I1728" t="s">
        <v>16</v>
      </c>
      <c r="J1728" t="s">
        <v>3049</v>
      </c>
      <c r="L1728" t="s">
        <v>18</v>
      </c>
      <c r="M1728" t="s">
        <v>1654</v>
      </c>
    </row>
    <row r="1729" spans="2:13" x14ac:dyDescent="0.25">
      <c r="B1729" t="s">
        <v>3139</v>
      </c>
      <c r="C1729">
        <v>16362524</v>
      </c>
      <c r="D1729" t="str">
        <f>"4607809820486"</f>
        <v>4607809820486</v>
      </c>
      <c r="E1729" t="s">
        <v>3148</v>
      </c>
      <c r="F1729" t="s">
        <v>1239</v>
      </c>
      <c r="G1729">
        <v>1</v>
      </c>
      <c r="H1729" t="s">
        <v>18</v>
      </c>
      <c r="I1729" t="s">
        <v>16</v>
      </c>
      <c r="J1729" t="s">
        <v>3049</v>
      </c>
      <c r="L1729" t="s">
        <v>18</v>
      </c>
      <c r="M1729" t="s">
        <v>582</v>
      </c>
    </row>
    <row r="1730" spans="2:13" x14ac:dyDescent="0.25">
      <c r="B1730" t="s">
        <v>3149</v>
      </c>
      <c r="C1730">
        <v>14838293</v>
      </c>
      <c r="D1730" t="str">
        <f>"4607809820639"</f>
        <v>4607809820639</v>
      </c>
      <c r="E1730" t="s">
        <v>3150</v>
      </c>
      <c r="F1730" t="s">
        <v>525</v>
      </c>
      <c r="G1730">
        <v>1</v>
      </c>
      <c r="H1730" t="s">
        <v>18</v>
      </c>
      <c r="I1730" t="s">
        <v>51</v>
      </c>
      <c r="J1730" t="s">
        <v>3049</v>
      </c>
      <c r="L1730" t="s">
        <v>18</v>
      </c>
      <c r="M1730" t="s">
        <v>3096</v>
      </c>
    </row>
    <row r="1731" spans="2:13" x14ac:dyDescent="0.25">
      <c r="B1731" t="s">
        <v>3149</v>
      </c>
      <c r="C1731">
        <v>14838306</v>
      </c>
      <c r="D1731" t="str">
        <f>"4607809820493"</f>
        <v>4607809820493</v>
      </c>
      <c r="E1731" t="s">
        <v>3151</v>
      </c>
      <c r="F1731" t="s">
        <v>389</v>
      </c>
      <c r="G1731">
        <v>1</v>
      </c>
      <c r="H1731" t="s">
        <v>18</v>
      </c>
      <c r="I1731" t="s">
        <v>16</v>
      </c>
      <c r="J1731" t="s">
        <v>3049</v>
      </c>
      <c r="L1731" t="s">
        <v>18</v>
      </c>
      <c r="M1731" t="s">
        <v>812</v>
      </c>
    </row>
    <row r="1732" spans="2:13" x14ac:dyDescent="0.25">
      <c r="B1732" t="s">
        <v>3149</v>
      </c>
      <c r="C1732">
        <v>14838314</v>
      </c>
      <c r="D1732" t="str">
        <f>"4607809820509"</f>
        <v>4607809820509</v>
      </c>
      <c r="E1732" t="s">
        <v>3152</v>
      </c>
      <c r="F1732" t="s">
        <v>227</v>
      </c>
      <c r="G1732">
        <v>1</v>
      </c>
      <c r="H1732" t="s">
        <v>18</v>
      </c>
      <c r="I1732" t="s">
        <v>16</v>
      </c>
      <c r="J1732" t="s">
        <v>3049</v>
      </c>
      <c r="L1732" t="s">
        <v>18</v>
      </c>
      <c r="M1732" t="s">
        <v>3035</v>
      </c>
    </row>
    <row r="1733" spans="2:13" x14ac:dyDescent="0.25">
      <c r="B1733" t="s">
        <v>3149</v>
      </c>
      <c r="C1733">
        <v>16362452</v>
      </c>
      <c r="D1733" t="str">
        <f>"4607809820752"</f>
        <v>4607809820752</v>
      </c>
      <c r="E1733" t="s">
        <v>3153</v>
      </c>
      <c r="F1733" t="s">
        <v>14</v>
      </c>
      <c r="G1733">
        <v>1</v>
      </c>
      <c r="H1733" t="s">
        <v>18</v>
      </c>
      <c r="I1733" t="s">
        <v>16</v>
      </c>
      <c r="J1733" t="s">
        <v>3049</v>
      </c>
      <c r="L1733" t="s">
        <v>18</v>
      </c>
      <c r="M1733" t="s">
        <v>3154</v>
      </c>
    </row>
    <row r="1734" spans="2:13" x14ac:dyDescent="0.25">
      <c r="B1734" t="s">
        <v>3149</v>
      </c>
      <c r="C1734">
        <v>16362461</v>
      </c>
      <c r="D1734" t="str">
        <f>"4607809820769"</f>
        <v>4607809820769</v>
      </c>
      <c r="E1734" t="s">
        <v>3155</v>
      </c>
      <c r="F1734" t="s">
        <v>14</v>
      </c>
      <c r="G1734">
        <v>1</v>
      </c>
      <c r="H1734" t="s">
        <v>18</v>
      </c>
      <c r="I1734" t="s">
        <v>16</v>
      </c>
      <c r="J1734" t="s">
        <v>3049</v>
      </c>
      <c r="L1734" t="s">
        <v>18</v>
      </c>
      <c r="M1734" t="s">
        <v>3156</v>
      </c>
    </row>
    <row r="1735" spans="2:13" x14ac:dyDescent="0.25">
      <c r="B1735" t="s">
        <v>3157</v>
      </c>
      <c r="C1735">
        <v>17241433</v>
      </c>
      <c r="D1735" t="str">
        <f>"4660007806706"</f>
        <v>4660007806706</v>
      </c>
      <c r="E1735" t="s">
        <v>3158</v>
      </c>
      <c r="F1735" t="s">
        <v>43</v>
      </c>
      <c r="G1735">
        <v>1</v>
      </c>
      <c r="H1735" t="s">
        <v>18</v>
      </c>
      <c r="I1735" t="s">
        <v>16</v>
      </c>
      <c r="J1735" t="s">
        <v>3043</v>
      </c>
      <c r="L1735" t="s">
        <v>18</v>
      </c>
      <c r="M1735" t="s">
        <v>3046</v>
      </c>
    </row>
    <row r="1736" spans="2:13" x14ac:dyDescent="0.25">
      <c r="B1736" t="s">
        <v>3157</v>
      </c>
      <c r="C1736">
        <v>17241441</v>
      </c>
      <c r="D1736" t="str">
        <f>"4660007804351"</f>
        <v>4660007804351</v>
      </c>
      <c r="E1736" t="s">
        <v>3159</v>
      </c>
      <c r="F1736" t="s">
        <v>366</v>
      </c>
      <c r="G1736">
        <v>1</v>
      </c>
      <c r="H1736" t="s">
        <v>18</v>
      </c>
      <c r="I1736" t="s">
        <v>16</v>
      </c>
      <c r="J1736" t="s">
        <v>3043</v>
      </c>
      <c r="L1736" t="s">
        <v>18</v>
      </c>
      <c r="M1736" t="s">
        <v>3046</v>
      </c>
    </row>
    <row r="1737" spans="2:13" x14ac:dyDescent="0.25">
      <c r="B1737" t="s">
        <v>3157</v>
      </c>
      <c r="C1737">
        <v>17241450</v>
      </c>
      <c r="D1737" t="str">
        <f>"4660007806690"</f>
        <v>4660007806690</v>
      </c>
      <c r="E1737" t="s">
        <v>3160</v>
      </c>
      <c r="F1737" t="s">
        <v>425</v>
      </c>
      <c r="G1737">
        <v>1</v>
      </c>
      <c r="H1737" t="s">
        <v>18</v>
      </c>
      <c r="I1737" t="s">
        <v>16</v>
      </c>
      <c r="J1737" t="s">
        <v>3043</v>
      </c>
      <c r="L1737" t="s">
        <v>18</v>
      </c>
      <c r="M1737" t="s">
        <v>862</v>
      </c>
    </row>
    <row r="1738" spans="2:13" x14ac:dyDescent="0.25">
      <c r="B1738" t="s">
        <v>3161</v>
      </c>
      <c r="C1738">
        <v>14272250</v>
      </c>
      <c r="D1738" t="str">
        <f>"4607809820714"</f>
        <v>4607809820714</v>
      </c>
      <c r="E1738" t="s">
        <v>3162</v>
      </c>
      <c r="F1738" t="s">
        <v>21</v>
      </c>
      <c r="G1738">
        <v>1</v>
      </c>
      <c r="H1738" t="s">
        <v>18</v>
      </c>
      <c r="I1738" t="s">
        <v>16</v>
      </c>
      <c r="J1738" t="s">
        <v>3049</v>
      </c>
      <c r="L1738" t="s">
        <v>18</v>
      </c>
      <c r="M1738" t="s">
        <v>3163</v>
      </c>
    </row>
    <row r="1739" spans="2:13" x14ac:dyDescent="0.25">
      <c r="B1739" t="s">
        <v>3161</v>
      </c>
      <c r="C1739">
        <v>14272277</v>
      </c>
      <c r="D1739" t="str">
        <f>"4607809820721"</f>
        <v>4607809820721</v>
      </c>
      <c r="E1739" t="s">
        <v>3164</v>
      </c>
      <c r="F1739" t="s">
        <v>21</v>
      </c>
      <c r="G1739">
        <v>1</v>
      </c>
      <c r="H1739" t="s">
        <v>18</v>
      </c>
      <c r="I1739" t="s">
        <v>16</v>
      </c>
      <c r="J1739" t="s">
        <v>3049</v>
      </c>
      <c r="L1739" t="s">
        <v>18</v>
      </c>
      <c r="M1739" t="s">
        <v>3165</v>
      </c>
    </row>
    <row r="1740" spans="2:13" x14ac:dyDescent="0.25">
      <c r="B1740" t="s">
        <v>3161</v>
      </c>
      <c r="C1740">
        <v>14272306</v>
      </c>
      <c r="D1740" t="str">
        <f>"4607809820738"</f>
        <v>4607809820738</v>
      </c>
      <c r="E1740" t="s">
        <v>3166</v>
      </c>
      <c r="F1740" t="s">
        <v>48</v>
      </c>
      <c r="G1740">
        <v>1</v>
      </c>
      <c r="H1740" t="s">
        <v>18</v>
      </c>
      <c r="I1740" t="s">
        <v>16</v>
      </c>
      <c r="J1740" t="s">
        <v>3049</v>
      </c>
      <c r="L1740" t="s">
        <v>18</v>
      </c>
      <c r="M1740" t="s">
        <v>3165</v>
      </c>
    </row>
    <row r="1741" spans="2:13" x14ac:dyDescent="0.25">
      <c r="B1741" t="s">
        <v>3167</v>
      </c>
      <c r="C1741">
        <v>12843558</v>
      </c>
      <c r="D1741" t="str">
        <f>"4607811180011"</f>
        <v>4607811180011</v>
      </c>
      <c r="E1741" t="s">
        <v>3168</v>
      </c>
      <c r="F1741" t="s">
        <v>2167</v>
      </c>
      <c r="G1741">
        <v>1</v>
      </c>
      <c r="H1741" t="s">
        <v>18</v>
      </c>
      <c r="I1741" t="s">
        <v>16</v>
      </c>
      <c r="J1741" t="s">
        <v>3169</v>
      </c>
      <c r="L1741" t="s">
        <v>18</v>
      </c>
      <c r="M1741" t="s">
        <v>3170</v>
      </c>
    </row>
    <row r="1742" spans="2:13" x14ac:dyDescent="0.25">
      <c r="B1742" t="s">
        <v>3167</v>
      </c>
      <c r="C1742">
        <v>13662716</v>
      </c>
      <c r="D1742" t="str">
        <f>"4620768973024"</f>
        <v>4620768973024</v>
      </c>
      <c r="E1742" t="s">
        <v>3171</v>
      </c>
      <c r="F1742" t="s">
        <v>27</v>
      </c>
      <c r="G1742">
        <v>1</v>
      </c>
      <c r="H1742" t="s">
        <v>15</v>
      </c>
      <c r="I1742" t="s">
        <v>16</v>
      </c>
      <c r="J1742" t="s">
        <v>3172</v>
      </c>
      <c r="L1742" t="s">
        <v>18</v>
      </c>
      <c r="M1742" t="s">
        <v>3173</v>
      </c>
    </row>
    <row r="1743" spans="2:13" x14ac:dyDescent="0.25">
      <c r="B1743" t="s">
        <v>3167</v>
      </c>
      <c r="C1743">
        <v>14357318</v>
      </c>
      <c r="D1743" t="str">
        <f>"4640008393757"</f>
        <v>4640008393757</v>
      </c>
      <c r="E1743" t="s">
        <v>3174</v>
      </c>
      <c r="F1743" t="s">
        <v>27</v>
      </c>
      <c r="G1743">
        <v>1</v>
      </c>
      <c r="H1743" t="s">
        <v>15</v>
      </c>
      <c r="I1743" t="s">
        <v>16</v>
      </c>
      <c r="J1743" t="s">
        <v>269</v>
      </c>
      <c r="L1743" t="s">
        <v>18</v>
      </c>
      <c r="M1743" t="s">
        <v>3175</v>
      </c>
    </row>
    <row r="1744" spans="2:13" x14ac:dyDescent="0.25">
      <c r="B1744" t="s">
        <v>3167</v>
      </c>
      <c r="C1744">
        <v>14357342</v>
      </c>
      <c r="D1744" t="str">
        <f>"4640008393771"</f>
        <v>4640008393771</v>
      </c>
      <c r="E1744" t="s">
        <v>3176</v>
      </c>
      <c r="F1744" t="s">
        <v>285</v>
      </c>
      <c r="G1744">
        <v>1</v>
      </c>
      <c r="H1744" t="s">
        <v>15</v>
      </c>
      <c r="I1744" t="s">
        <v>16</v>
      </c>
      <c r="J1744" t="s">
        <v>269</v>
      </c>
      <c r="L1744" t="s">
        <v>18</v>
      </c>
      <c r="M1744" t="s">
        <v>3177</v>
      </c>
    </row>
    <row r="1745" spans="2:13" x14ac:dyDescent="0.25">
      <c r="B1745" t="s">
        <v>3167</v>
      </c>
      <c r="C1745">
        <v>14357377</v>
      </c>
      <c r="D1745" t="str">
        <f>"4640008393795"</f>
        <v>4640008393795</v>
      </c>
      <c r="E1745" t="s">
        <v>3178</v>
      </c>
      <c r="F1745" t="s">
        <v>34</v>
      </c>
      <c r="G1745">
        <v>1</v>
      </c>
      <c r="H1745" t="s">
        <v>15</v>
      </c>
      <c r="I1745" t="s">
        <v>51</v>
      </c>
      <c r="J1745" t="s">
        <v>269</v>
      </c>
      <c r="L1745" t="s">
        <v>18</v>
      </c>
      <c r="M1745" t="s">
        <v>3179</v>
      </c>
    </row>
    <row r="1746" spans="2:13" x14ac:dyDescent="0.25">
      <c r="B1746" t="s">
        <v>3167</v>
      </c>
      <c r="C1746">
        <v>17114389</v>
      </c>
      <c r="D1746" t="str">
        <f>"4813036008430"</f>
        <v>4813036008430</v>
      </c>
      <c r="E1746" t="s">
        <v>3180</v>
      </c>
      <c r="F1746" t="s">
        <v>43</v>
      </c>
      <c r="G1746">
        <v>1</v>
      </c>
      <c r="H1746" t="s">
        <v>15</v>
      </c>
      <c r="I1746" t="s">
        <v>16</v>
      </c>
      <c r="J1746" t="s">
        <v>3181</v>
      </c>
      <c r="L1746" t="s">
        <v>18</v>
      </c>
      <c r="M1746" t="s">
        <v>1395</v>
      </c>
    </row>
    <row r="1747" spans="2:13" x14ac:dyDescent="0.25">
      <c r="B1747" t="s">
        <v>3167</v>
      </c>
      <c r="C1747">
        <v>17412298</v>
      </c>
      <c r="D1747" t="str">
        <f>"2000174122988"</f>
        <v>2000174122988</v>
      </c>
      <c r="E1747" t="s">
        <v>3182</v>
      </c>
      <c r="F1747" t="s">
        <v>165</v>
      </c>
      <c r="G1747">
        <v>1</v>
      </c>
      <c r="H1747" t="s">
        <v>18</v>
      </c>
      <c r="I1747" t="s">
        <v>16</v>
      </c>
      <c r="J1747" t="s">
        <v>3169</v>
      </c>
      <c r="L1747" t="s">
        <v>18</v>
      </c>
      <c r="M1747" t="s">
        <v>3183</v>
      </c>
    </row>
    <row r="1748" spans="2:13" x14ac:dyDescent="0.25">
      <c r="B1748" t="s">
        <v>3167</v>
      </c>
      <c r="C1748">
        <v>17412301</v>
      </c>
      <c r="D1748" t="str">
        <f>"2000174123015"</f>
        <v>2000174123015</v>
      </c>
      <c r="E1748" t="s">
        <v>3184</v>
      </c>
      <c r="F1748" t="s">
        <v>522</v>
      </c>
      <c r="G1748">
        <v>1</v>
      </c>
      <c r="H1748" t="s">
        <v>18</v>
      </c>
      <c r="I1748" t="s">
        <v>16</v>
      </c>
      <c r="J1748" t="s">
        <v>3169</v>
      </c>
      <c r="L1748" t="s">
        <v>18</v>
      </c>
      <c r="M1748" t="s">
        <v>2091</v>
      </c>
    </row>
    <row r="1749" spans="2:13" x14ac:dyDescent="0.25">
      <c r="B1749" t="s">
        <v>3167</v>
      </c>
      <c r="C1749">
        <v>17412319</v>
      </c>
      <c r="D1749" t="str">
        <f>"2000174123190"</f>
        <v>2000174123190</v>
      </c>
      <c r="E1749" t="s">
        <v>3185</v>
      </c>
      <c r="F1749" t="s">
        <v>21</v>
      </c>
      <c r="G1749">
        <v>1</v>
      </c>
      <c r="H1749" t="s">
        <v>18</v>
      </c>
      <c r="I1749" t="s">
        <v>16</v>
      </c>
      <c r="J1749" t="s">
        <v>3169</v>
      </c>
      <c r="L1749" t="s">
        <v>18</v>
      </c>
      <c r="M1749" t="s">
        <v>3186</v>
      </c>
    </row>
    <row r="1750" spans="2:13" x14ac:dyDescent="0.25">
      <c r="B1750" t="s">
        <v>3167</v>
      </c>
      <c r="C1750">
        <v>17412378</v>
      </c>
      <c r="D1750" t="str">
        <f>"2000174123787"</f>
        <v>2000174123787</v>
      </c>
      <c r="E1750" t="s">
        <v>3187</v>
      </c>
      <c r="F1750" t="s">
        <v>43</v>
      </c>
      <c r="G1750">
        <v>1</v>
      </c>
      <c r="H1750" t="s">
        <v>18</v>
      </c>
      <c r="I1750" t="s">
        <v>51</v>
      </c>
      <c r="J1750" t="s">
        <v>3169</v>
      </c>
      <c r="L1750" t="s">
        <v>18</v>
      </c>
      <c r="M1750" t="s">
        <v>3188</v>
      </c>
    </row>
    <row r="1751" spans="2:13" x14ac:dyDescent="0.25">
      <c r="B1751" t="s">
        <v>3167</v>
      </c>
      <c r="C1751">
        <v>17412386</v>
      </c>
      <c r="D1751" t="str">
        <f>"2000174123862"</f>
        <v>2000174123862</v>
      </c>
      <c r="E1751" t="s">
        <v>3189</v>
      </c>
      <c r="F1751" t="s">
        <v>27</v>
      </c>
      <c r="G1751">
        <v>1</v>
      </c>
      <c r="H1751" t="s">
        <v>18</v>
      </c>
      <c r="I1751" t="s">
        <v>51</v>
      </c>
      <c r="J1751" t="s">
        <v>3169</v>
      </c>
      <c r="L1751" t="s">
        <v>18</v>
      </c>
      <c r="M1751" t="s">
        <v>3190</v>
      </c>
    </row>
    <row r="1752" spans="2:13" x14ac:dyDescent="0.25">
      <c r="B1752" t="s">
        <v>3167</v>
      </c>
      <c r="C1752">
        <v>17689545</v>
      </c>
      <c r="D1752" t="str">
        <f>"4665297120464"</f>
        <v>4665297120464</v>
      </c>
      <c r="E1752" t="s">
        <v>3191</v>
      </c>
      <c r="F1752" t="s">
        <v>109</v>
      </c>
      <c r="G1752">
        <v>1</v>
      </c>
      <c r="H1752" t="s">
        <v>15</v>
      </c>
      <c r="I1752" t="s">
        <v>16</v>
      </c>
      <c r="J1752" t="s">
        <v>3192</v>
      </c>
      <c r="L1752" t="s">
        <v>18</v>
      </c>
      <c r="M1752" t="s">
        <v>3193</v>
      </c>
    </row>
    <row r="1753" spans="2:13" x14ac:dyDescent="0.25">
      <c r="B1753" t="s">
        <v>3167</v>
      </c>
      <c r="C1753">
        <v>17689553</v>
      </c>
      <c r="D1753" t="str">
        <f>"4665297120471"</f>
        <v>4665297120471</v>
      </c>
      <c r="E1753" t="s">
        <v>3194</v>
      </c>
      <c r="F1753" t="s">
        <v>379</v>
      </c>
      <c r="G1753">
        <v>1</v>
      </c>
      <c r="H1753" t="s">
        <v>15</v>
      </c>
      <c r="I1753" t="s">
        <v>16</v>
      </c>
      <c r="J1753" t="s">
        <v>3192</v>
      </c>
      <c r="L1753" t="s">
        <v>18</v>
      </c>
      <c r="M1753" t="s">
        <v>3195</v>
      </c>
    </row>
    <row r="1754" spans="2:13" x14ac:dyDescent="0.25">
      <c r="B1754" t="s">
        <v>3167</v>
      </c>
      <c r="C1754">
        <v>17701495</v>
      </c>
      <c r="D1754" t="str">
        <f>"2000177014952"</f>
        <v>2000177014952</v>
      </c>
      <c r="E1754" t="s">
        <v>3196</v>
      </c>
      <c r="F1754" t="s">
        <v>191</v>
      </c>
      <c r="G1754">
        <v>1</v>
      </c>
      <c r="H1754" t="s">
        <v>18</v>
      </c>
      <c r="I1754" t="s">
        <v>16</v>
      </c>
      <c r="J1754" t="s">
        <v>3197</v>
      </c>
      <c r="L1754" t="s">
        <v>18</v>
      </c>
      <c r="M1754" t="s">
        <v>3198</v>
      </c>
    </row>
    <row r="1755" spans="2:13" x14ac:dyDescent="0.25">
      <c r="B1755" t="s">
        <v>3167</v>
      </c>
      <c r="C1755">
        <v>18060976</v>
      </c>
      <c r="D1755" t="str">
        <f>"4607808240193"</f>
        <v>4607808240193</v>
      </c>
      <c r="E1755" t="s">
        <v>3199</v>
      </c>
      <c r="F1755" t="s">
        <v>413</v>
      </c>
      <c r="G1755">
        <v>1</v>
      </c>
      <c r="H1755" t="s">
        <v>15</v>
      </c>
      <c r="I1755" t="s">
        <v>16</v>
      </c>
      <c r="J1755" t="s">
        <v>3200</v>
      </c>
      <c r="L1755" t="s">
        <v>18</v>
      </c>
      <c r="M1755" t="s">
        <v>3201</v>
      </c>
    </row>
    <row r="1756" spans="2:13" x14ac:dyDescent="0.25">
      <c r="B1756" t="s">
        <v>3167</v>
      </c>
      <c r="C1756">
        <v>18060992</v>
      </c>
      <c r="D1756" t="str">
        <f>"4607808240216"</f>
        <v>4607808240216</v>
      </c>
      <c r="E1756" t="s">
        <v>3202</v>
      </c>
      <c r="F1756" t="s">
        <v>406</v>
      </c>
      <c r="G1756">
        <v>1</v>
      </c>
      <c r="H1756" t="s">
        <v>15</v>
      </c>
      <c r="I1756" t="s">
        <v>16</v>
      </c>
      <c r="J1756" t="s">
        <v>3200</v>
      </c>
      <c r="L1756" t="s">
        <v>18</v>
      </c>
      <c r="M1756" t="s">
        <v>3203</v>
      </c>
    </row>
    <row r="1757" spans="2:13" x14ac:dyDescent="0.25">
      <c r="B1757" t="s">
        <v>3167</v>
      </c>
      <c r="C1757">
        <v>18539741</v>
      </c>
      <c r="D1757" t="str">
        <f>"4813036009291"</f>
        <v>4813036009291</v>
      </c>
      <c r="E1757" t="s">
        <v>3204</v>
      </c>
      <c r="F1757" t="s">
        <v>40</v>
      </c>
      <c r="G1757">
        <v>1</v>
      </c>
      <c r="H1757" t="s">
        <v>15</v>
      </c>
      <c r="I1757" t="s">
        <v>16</v>
      </c>
      <c r="J1757" t="s">
        <v>3181</v>
      </c>
      <c r="L1757" t="s">
        <v>18</v>
      </c>
      <c r="M1757" t="s">
        <v>3205</v>
      </c>
    </row>
    <row r="1758" spans="2:13" x14ac:dyDescent="0.25">
      <c r="B1758" t="s">
        <v>3206</v>
      </c>
      <c r="C1758">
        <v>13662732</v>
      </c>
      <c r="D1758" t="str">
        <f>"4620000141587"</f>
        <v>4620000141587</v>
      </c>
      <c r="E1758" t="s">
        <v>3207</v>
      </c>
      <c r="F1758" t="s">
        <v>24</v>
      </c>
      <c r="G1758">
        <v>1</v>
      </c>
      <c r="H1758" t="s">
        <v>15</v>
      </c>
      <c r="I1758" t="s">
        <v>16</v>
      </c>
      <c r="J1758" t="s">
        <v>3172</v>
      </c>
      <c r="L1758" t="s">
        <v>18</v>
      </c>
      <c r="M1758" t="s">
        <v>3208</v>
      </c>
    </row>
    <row r="1759" spans="2:13" x14ac:dyDescent="0.25">
      <c r="B1759" t="s">
        <v>3206</v>
      </c>
      <c r="C1759">
        <v>15630494</v>
      </c>
      <c r="D1759" t="str">
        <f>"4607019635108"</f>
        <v>4607019635108</v>
      </c>
      <c r="E1759" t="s">
        <v>3209</v>
      </c>
      <c r="F1759" t="s">
        <v>3210</v>
      </c>
      <c r="G1759">
        <v>0</v>
      </c>
      <c r="H1759" t="s">
        <v>18</v>
      </c>
      <c r="I1759" t="s">
        <v>16</v>
      </c>
      <c r="J1759" t="s">
        <v>171</v>
      </c>
      <c r="L1759" t="s">
        <v>18</v>
      </c>
      <c r="M1759" t="s">
        <v>3211</v>
      </c>
    </row>
    <row r="1760" spans="2:13" x14ac:dyDescent="0.25">
      <c r="B1760" t="s">
        <v>3206</v>
      </c>
      <c r="C1760">
        <v>16349400</v>
      </c>
      <c r="D1760" t="str">
        <f>"2000163494003"</f>
        <v>2000163494003</v>
      </c>
      <c r="E1760" t="s">
        <v>3212</v>
      </c>
      <c r="F1760" t="s">
        <v>27</v>
      </c>
      <c r="G1760">
        <v>0</v>
      </c>
      <c r="H1760" t="s">
        <v>15</v>
      </c>
      <c r="I1760" t="s">
        <v>16</v>
      </c>
      <c r="J1760" t="s">
        <v>3169</v>
      </c>
      <c r="L1760" t="s">
        <v>18</v>
      </c>
      <c r="M1760" t="s">
        <v>3213</v>
      </c>
    </row>
    <row r="1761" spans="2:13" x14ac:dyDescent="0.25">
      <c r="B1761" t="s">
        <v>3206</v>
      </c>
      <c r="C1761">
        <v>17114400</v>
      </c>
      <c r="D1761" t="str">
        <f>"4810531095538"</f>
        <v>4810531095538</v>
      </c>
      <c r="E1761" t="s">
        <v>3214</v>
      </c>
      <c r="F1761" t="s">
        <v>194</v>
      </c>
      <c r="G1761">
        <v>1</v>
      </c>
      <c r="H1761" t="s">
        <v>15</v>
      </c>
      <c r="I1761" t="s">
        <v>16</v>
      </c>
      <c r="J1761" t="s">
        <v>3181</v>
      </c>
      <c r="L1761" t="s">
        <v>18</v>
      </c>
      <c r="M1761" t="s">
        <v>2832</v>
      </c>
    </row>
    <row r="1762" spans="2:13" x14ac:dyDescent="0.25">
      <c r="B1762" t="s">
        <v>3206</v>
      </c>
      <c r="C1762">
        <v>17134304</v>
      </c>
      <c r="D1762" t="str">
        <f>"4690311008947"</f>
        <v>4690311008947</v>
      </c>
      <c r="E1762" t="s">
        <v>3215</v>
      </c>
      <c r="F1762" t="s">
        <v>759</v>
      </c>
      <c r="G1762">
        <v>1</v>
      </c>
      <c r="H1762" t="s">
        <v>18</v>
      </c>
      <c r="I1762" t="s">
        <v>16</v>
      </c>
      <c r="J1762" t="s">
        <v>175</v>
      </c>
      <c r="L1762" t="s">
        <v>18</v>
      </c>
      <c r="M1762" t="s">
        <v>210</v>
      </c>
    </row>
    <row r="1763" spans="2:13" x14ac:dyDescent="0.25">
      <c r="B1763" t="s">
        <v>3206</v>
      </c>
      <c r="C1763">
        <v>17331295</v>
      </c>
      <c r="D1763" t="str">
        <f>"4690311039439"</f>
        <v>4690311039439</v>
      </c>
      <c r="E1763" t="s">
        <v>3216</v>
      </c>
      <c r="F1763" t="s">
        <v>34</v>
      </c>
      <c r="G1763">
        <v>1</v>
      </c>
      <c r="H1763" t="s">
        <v>18</v>
      </c>
      <c r="I1763" t="s">
        <v>16</v>
      </c>
      <c r="J1763" t="s">
        <v>175</v>
      </c>
      <c r="L1763" t="s">
        <v>18</v>
      </c>
      <c r="M1763" t="s">
        <v>3217</v>
      </c>
    </row>
    <row r="1764" spans="2:13" x14ac:dyDescent="0.25">
      <c r="B1764" t="s">
        <v>3206</v>
      </c>
      <c r="C1764">
        <v>17331308</v>
      </c>
      <c r="D1764" t="str">
        <f>"4690311039453"</f>
        <v>4690311039453</v>
      </c>
      <c r="E1764" t="s">
        <v>3218</v>
      </c>
      <c r="F1764" t="s">
        <v>277</v>
      </c>
      <c r="G1764">
        <v>1</v>
      </c>
      <c r="H1764" t="s">
        <v>18</v>
      </c>
      <c r="I1764" t="s">
        <v>16</v>
      </c>
      <c r="J1764" t="s">
        <v>175</v>
      </c>
      <c r="L1764" t="s">
        <v>18</v>
      </c>
      <c r="M1764" t="s">
        <v>3219</v>
      </c>
    </row>
    <row r="1765" spans="2:13" x14ac:dyDescent="0.25">
      <c r="B1765" t="s">
        <v>3206</v>
      </c>
      <c r="C1765">
        <v>17331324</v>
      </c>
      <c r="D1765" t="str">
        <f>"4690311039477"</f>
        <v>4690311039477</v>
      </c>
      <c r="E1765" t="s">
        <v>3220</v>
      </c>
      <c r="F1765" t="s">
        <v>227</v>
      </c>
      <c r="G1765">
        <v>1</v>
      </c>
      <c r="H1765" t="s">
        <v>18</v>
      </c>
      <c r="I1765" t="s">
        <v>16</v>
      </c>
      <c r="J1765" t="s">
        <v>175</v>
      </c>
      <c r="L1765" t="s">
        <v>18</v>
      </c>
      <c r="M1765" t="s">
        <v>3221</v>
      </c>
    </row>
    <row r="1766" spans="2:13" x14ac:dyDescent="0.25">
      <c r="B1766" t="s">
        <v>3206</v>
      </c>
      <c r="C1766">
        <v>17482413</v>
      </c>
      <c r="D1766" t="str">
        <f>"4607019632541"</f>
        <v>4607019632541</v>
      </c>
      <c r="E1766" t="s">
        <v>3222</v>
      </c>
      <c r="F1766" t="s">
        <v>34</v>
      </c>
      <c r="G1766">
        <v>1</v>
      </c>
      <c r="H1766" t="s">
        <v>15</v>
      </c>
      <c r="I1766" t="s">
        <v>16</v>
      </c>
      <c r="J1766" t="s">
        <v>171</v>
      </c>
      <c r="L1766" t="s">
        <v>18</v>
      </c>
      <c r="M1766" t="s">
        <v>3223</v>
      </c>
    </row>
    <row r="1767" spans="2:13" x14ac:dyDescent="0.25">
      <c r="B1767" t="s">
        <v>3206</v>
      </c>
      <c r="C1767">
        <v>17847304</v>
      </c>
      <c r="D1767" t="str">
        <f>"4620000148098"</f>
        <v>4620000148098</v>
      </c>
      <c r="E1767" t="s">
        <v>3224</v>
      </c>
      <c r="F1767" t="s">
        <v>366</v>
      </c>
      <c r="G1767">
        <v>1</v>
      </c>
      <c r="H1767" t="s">
        <v>18</v>
      </c>
      <c r="I1767" t="s">
        <v>16</v>
      </c>
      <c r="J1767" t="s">
        <v>162</v>
      </c>
      <c r="L1767" t="s">
        <v>18</v>
      </c>
      <c r="M1767" t="s">
        <v>1154</v>
      </c>
    </row>
    <row r="1768" spans="2:13" x14ac:dyDescent="0.25">
      <c r="B1768" t="s">
        <v>3206</v>
      </c>
      <c r="C1768">
        <v>18539768</v>
      </c>
      <c r="D1768" t="str">
        <f>"4620008196114"</f>
        <v>4620008196114</v>
      </c>
      <c r="E1768" t="s">
        <v>3225</v>
      </c>
      <c r="F1768" t="s">
        <v>191</v>
      </c>
      <c r="G1768">
        <v>1</v>
      </c>
      <c r="H1768" t="s">
        <v>15</v>
      </c>
      <c r="I1768" t="s">
        <v>16</v>
      </c>
      <c r="J1768" t="s">
        <v>3181</v>
      </c>
      <c r="L1768" t="s">
        <v>18</v>
      </c>
      <c r="M1768" t="s">
        <v>3226</v>
      </c>
    </row>
    <row r="1769" spans="2:13" x14ac:dyDescent="0.25">
      <c r="B1769" t="s">
        <v>3227</v>
      </c>
      <c r="C1769">
        <v>17412415</v>
      </c>
      <c r="D1769" t="str">
        <f>"2000174124159"</f>
        <v>2000174124159</v>
      </c>
      <c r="E1769" t="s">
        <v>3228</v>
      </c>
      <c r="F1769" t="s">
        <v>1045</v>
      </c>
      <c r="G1769">
        <v>1</v>
      </c>
      <c r="H1769" t="s">
        <v>18</v>
      </c>
      <c r="I1769" t="s">
        <v>16</v>
      </c>
      <c r="J1769" t="s">
        <v>3169</v>
      </c>
      <c r="L1769" t="s">
        <v>18</v>
      </c>
      <c r="M1769" t="s">
        <v>3229</v>
      </c>
    </row>
    <row r="1770" spans="2:13" x14ac:dyDescent="0.25">
      <c r="B1770" t="s">
        <v>3230</v>
      </c>
      <c r="C1770">
        <v>13662601</v>
      </c>
      <c r="D1770" t="str">
        <f>"4620768970375"</f>
        <v>4620768970375</v>
      </c>
      <c r="E1770" t="s">
        <v>3231</v>
      </c>
      <c r="F1770" t="s">
        <v>43</v>
      </c>
      <c r="G1770">
        <v>1</v>
      </c>
      <c r="H1770" t="s">
        <v>15</v>
      </c>
      <c r="I1770" t="s">
        <v>16</v>
      </c>
      <c r="J1770" t="s">
        <v>3172</v>
      </c>
      <c r="L1770" t="s">
        <v>18</v>
      </c>
      <c r="M1770" t="s">
        <v>3232</v>
      </c>
    </row>
    <row r="1771" spans="2:13" x14ac:dyDescent="0.25">
      <c r="B1771" t="s">
        <v>3230</v>
      </c>
      <c r="C1771">
        <v>14357334</v>
      </c>
      <c r="D1771" t="str">
        <f>"4640008393764"</f>
        <v>4640008393764</v>
      </c>
      <c r="E1771" t="s">
        <v>3233</v>
      </c>
      <c r="F1771" t="s">
        <v>27</v>
      </c>
      <c r="G1771">
        <v>1</v>
      </c>
      <c r="H1771" t="s">
        <v>15</v>
      </c>
      <c r="I1771" t="s">
        <v>16</v>
      </c>
      <c r="J1771" t="s">
        <v>269</v>
      </c>
      <c r="L1771" t="s">
        <v>18</v>
      </c>
      <c r="M1771" t="s">
        <v>3234</v>
      </c>
    </row>
    <row r="1772" spans="2:13" x14ac:dyDescent="0.25">
      <c r="B1772" t="s">
        <v>3230</v>
      </c>
      <c r="C1772">
        <v>14357369</v>
      </c>
      <c r="D1772" t="str">
        <f>"4640008393788"</f>
        <v>4640008393788</v>
      </c>
      <c r="E1772" t="s">
        <v>3235</v>
      </c>
      <c r="F1772" t="s">
        <v>191</v>
      </c>
      <c r="G1772">
        <v>1</v>
      </c>
      <c r="H1772" t="s">
        <v>15</v>
      </c>
      <c r="I1772" t="s">
        <v>16</v>
      </c>
      <c r="J1772" t="s">
        <v>269</v>
      </c>
      <c r="L1772" t="s">
        <v>18</v>
      </c>
      <c r="M1772" t="s">
        <v>3236</v>
      </c>
    </row>
    <row r="1773" spans="2:13" x14ac:dyDescent="0.25">
      <c r="B1773" t="s">
        <v>3230</v>
      </c>
      <c r="C1773">
        <v>14357393</v>
      </c>
      <c r="D1773" t="str">
        <f>"4640008393801"</f>
        <v>4640008393801</v>
      </c>
      <c r="E1773" t="s">
        <v>3237</v>
      </c>
      <c r="F1773" t="s">
        <v>34</v>
      </c>
      <c r="G1773">
        <v>1</v>
      </c>
      <c r="H1773" t="s">
        <v>15</v>
      </c>
      <c r="I1773" t="s">
        <v>51</v>
      </c>
      <c r="J1773" t="s">
        <v>269</v>
      </c>
      <c r="L1773" t="s">
        <v>18</v>
      </c>
      <c r="M1773" t="s">
        <v>3238</v>
      </c>
    </row>
    <row r="1774" spans="2:13" x14ac:dyDescent="0.25">
      <c r="B1774" t="s">
        <v>3230</v>
      </c>
      <c r="C1774">
        <v>17114397</v>
      </c>
      <c r="D1774" t="str">
        <f>"4813036008454"</f>
        <v>4813036008454</v>
      </c>
      <c r="E1774" t="s">
        <v>3239</v>
      </c>
      <c r="F1774" t="s">
        <v>48</v>
      </c>
      <c r="G1774">
        <v>1</v>
      </c>
      <c r="H1774" t="s">
        <v>15</v>
      </c>
      <c r="I1774" t="s">
        <v>16</v>
      </c>
      <c r="J1774" t="s">
        <v>3181</v>
      </c>
      <c r="L1774" t="s">
        <v>18</v>
      </c>
      <c r="M1774" t="s">
        <v>3240</v>
      </c>
    </row>
    <row r="1775" spans="2:13" x14ac:dyDescent="0.25">
      <c r="B1775" t="s">
        <v>3230</v>
      </c>
      <c r="C1775">
        <v>17689481</v>
      </c>
      <c r="D1775" t="str">
        <f>"4665297120426"</f>
        <v>4665297120426</v>
      </c>
      <c r="E1775" t="s">
        <v>3241</v>
      </c>
      <c r="F1775" t="s">
        <v>60</v>
      </c>
      <c r="G1775">
        <v>1</v>
      </c>
      <c r="H1775" t="s">
        <v>15</v>
      </c>
      <c r="I1775" t="s">
        <v>16</v>
      </c>
      <c r="J1775" t="s">
        <v>3192</v>
      </c>
      <c r="L1775" t="s">
        <v>18</v>
      </c>
      <c r="M1775" t="s">
        <v>3242</v>
      </c>
    </row>
    <row r="1776" spans="2:13" x14ac:dyDescent="0.25">
      <c r="B1776" t="s">
        <v>3230</v>
      </c>
      <c r="C1776">
        <v>17689511</v>
      </c>
      <c r="D1776" t="str">
        <f>"4665297120433"</f>
        <v>4665297120433</v>
      </c>
      <c r="E1776" t="s">
        <v>3243</v>
      </c>
      <c r="F1776" t="s">
        <v>40</v>
      </c>
      <c r="G1776">
        <v>1</v>
      </c>
      <c r="H1776" t="s">
        <v>15</v>
      </c>
      <c r="I1776" t="s">
        <v>16</v>
      </c>
      <c r="J1776" t="s">
        <v>3192</v>
      </c>
      <c r="L1776" t="s">
        <v>18</v>
      </c>
      <c r="M1776" t="s">
        <v>3244</v>
      </c>
    </row>
    <row r="1777" spans="2:13" x14ac:dyDescent="0.25">
      <c r="B1777" t="s">
        <v>3230</v>
      </c>
      <c r="C1777">
        <v>17689529</v>
      </c>
      <c r="D1777" t="str">
        <f>"4665297120440"</f>
        <v>4665297120440</v>
      </c>
      <c r="E1777" t="s">
        <v>3245</v>
      </c>
      <c r="F1777" t="s">
        <v>27</v>
      </c>
      <c r="G1777">
        <v>1</v>
      </c>
      <c r="H1777" t="s">
        <v>15</v>
      </c>
      <c r="I1777" t="s">
        <v>16</v>
      </c>
      <c r="J1777" t="s">
        <v>3192</v>
      </c>
      <c r="L1777" t="s">
        <v>18</v>
      </c>
      <c r="M1777" t="s">
        <v>3246</v>
      </c>
    </row>
    <row r="1778" spans="2:13" x14ac:dyDescent="0.25">
      <c r="B1778" t="s">
        <v>3230</v>
      </c>
      <c r="C1778">
        <v>17701559</v>
      </c>
      <c r="D1778" t="str">
        <f>"2000177015591"</f>
        <v>2000177015591</v>
      </c>
      <c r="E1778" t="s">
        <v>3247</v>
      </c>
      <c r="F1778" t="s">
        <v>109</v>
      </c>
      <c r="G1778">
        <v>0</v>
      </c>
      <c r="H1778" t="s">
        <v>18</v>
      </c>
      <c r="I1778" t="s">
        <v>16</v>
      </c>
      <c r="J1778" t="s">
        <v>3197</v>
      </c>
      <c r="K1778" s="1">
        <v>42998</v>
      </c>
      <c r="L1778" t="s">
        <v>18</v>
      </c>
      <c r="M1778" t="s">
        <v>943</v>
      </c>
    </row>
    <row r="1779" spans="2:13" x14ac:dyDescent="0.25">
      <c r="B1779" t="s">
        <v>3230</v>
      </c>
      <c r="C1779">
        <v>18046795</v>
      </c>
      <c r="D1779" t="str">
        <f>"4630012740463"</f>
        <v>4630012740463</v>
      </c>
      <c r="E1779" t="s">
        <v>3248</v>
      </c>
      <c r="F1779" t="s">
        <v>165</v>
      </c>
      <c r="G1779">
        <v>1</v>
      </c>
      <c r="H1779" t="s">
        <v>18</v>
      </c>
      <c r="I1779" t="s">
        <v>16</v>
      </c>
      <c r="J1779" t="s">
        <v>3197</v>
      </c>
      <c r="L1779" t="s">
        <v>18</v>
      </c>
      <c r="M1779" t="s">
        <v>3249</v>
      </c>
    </row>
    <row r="1780" spans="2:13" x14ac:dyDescent="0.25">
      <c r="B1780" t="s">
        <v>3230</v>
      </c>
      <c r="C1780">
        <v>18046808</v>
      </c>
      <c r="D1780" t="str">
        <f>"4630012740456"</f>
        <v>4630012740456</v>
      </c>
      <c r="E1780" t="s">
        <v>3250</v>
      </c>
      <c r="F1780" t="s">
        <v>185</v>
      </c>
      <c r="G1780">
        <v>1</v>
      </c>
      <c r="H1780" t="s">
        <v>18</v>
      </c>
      <c r="I1780" t="s">
        <v>16</v>
      </c>
      <c r="J1780" t="s">
        <v>3197</v>
      </c>
      <c r="L1780" t="s">
        <v>18</v>
      </c>
      <c r="M1780" t="s">
        <v>943</v>
      </c>
    </row>
    <row r="1781" spans="2:13" x14ac:dyDescent="0.25">
      <c r="B1781" t="s">
        <v>3230</v>
      </c>
      <c r="C1781">
        <v>18061004</v>
      </c>
      <c r="D1781" t="str">
        <f>"4607808240223"</f>
        <v>4607808240223</v>
      </c>
      <c r="E1781" t="s">
        <v>3251</v>
      </c>
      <c r="F1781" t="s">
        <v>1934</v>
      </c>
      <c r="G1781">
        <v>1</v>
      </c>
      <c r="H1781" t="s">
        <v>18</v>
      </c>
      <c r="I1781" t="s">
        <v>16</v>
      </c>
      <c r="J1781" t="s">
        <v>3200</v>
      </c>
      <c r="L1781" t="s">
        <v>18</v>
      </c>
      <c r="M1781" t="s">
        <v>3252</v>
      </c>
    </row>
    <row r="1782" spans="2:13" x14ac:dyDescent="0.25">
      <c r="B1782" t="s">
        <v>3230</v>
      </c>
      <c r="C1782">
        <v>18061012</v>
      </c>
      <c r="D1782" t="str">
        <f>"4607808240230"</f>
        <v>4607808240230</v>
      </c>
      <c r="E1782" t="s">
        <v>3253</v>
      </c>
      <c r="F1782" t="s">
        <v>1025</v>
      </c>
      <c r="G1782">
        <v>1</v>
      </c>
      <c r="H1782" t="s">
        <v>15</v>
      </c>
      <c r="I1782" t="s">
        <v>16</v>
      </c>
      <c r="J1782" t="s">
        <v>3200</v>
      </c>
      <c r="L1782" t="s">
        <v>18</v>
      </c>
      <c r="M1782" t="s">
        <v>3254</v>
      </c>
    </row>
    <row r="1783" spans="2:13" x14ac:dyDescent="0.25">
      <c r="B1783" t="s">
        <v>3255</v>
      </c>
      <c r="C1783">
        <v>14357449</v>
      </c>
      <c r="D1783" t="str">
        <f>"4640008393856"</f>
        <v>4640008393856</v>
      </c>
      <c r="E1783" t="s">
        <v>3256</v>
      </c>
      <c r="F1783" t="s">
        <v>43</v>
      </c>
      <c r="G1783">
        <v>1</v>
      </c>
      <c r="H1783" t="s">
        <v>15</v>
      </c>
      <c r="I1783" t="s">
        <v>16</v>
      </c>
      <c r="J1783" t="s">
        <v>269</v>
      </c>
      <c r="L1783" t="s">
        <v>18</v>
      </c>
      <c r="M1783" t="s">
        <v>3257</v>
      </c>
    </row>
    <row r="1784" spans="2:13" x14ac:dyDescent="0.25">
      <c r="B1784" t="s">
        <v>3255</v>
      </c>
      <c r="C1784">
        <v>14357457</v>
      </c>
      <c r="D1784" t="str">
        <f>"4640008393863"</f>
        <v>4640008393863</v>
      </c>
      <c r="E1784" t="s">
        <v>3258</v>
      </c>
      <c r="F1784" t="s">
        <v>43</v>
      </c>
      <c r="G1784">
        <v>1</v>
      </c>
      <c r="H1784" t="s">
        <v>15</v>
      </c>
      <c r="I1784" t="s">
        <v>16</v>
      </c>
      <c r="J1784" t="s">
        <v>269</v>
      </c>
      <c r="L1784" t="s">
        <v>18</v>
      </c>
      <c r="M1784" t="s">
        <v>3257</v>
      </c>
    </row>
    <row r="1785" spans="2:13" x14ac:dyDescent="0.25">
      <c r="B1785" t="s">
        <v>3255</v>
      </c>
      <c r="C1785">
        <v>17412407</v>
      </c>
      <c r="D1785" t="str">
        <f>"2000174124074"</f>
        <v>2000174124074</v>
      </c>
      <c r="E1785" t="s">
        <v>3259</v>
      </c>
      <c r="F1785" t="s">
        <v>21</v>
      </c>
      <c r="G1785">
        <v>1</v>
      </c>
      <c r="H1785" t="s">
        <v>15</v>
      </c>
      <c r="I1785" t="s">
        <v>16</v>
      </c>
      <c r="J1785" t="s">
        <v>3169</v>
      </c>
      <c r="L1785" t="s">
        <v>18</v>
      </c>
      <c r="M1785" t="s">
        <v>3260</v>
      </c>
    </row>
    <row r="1786" spans="2:13" x14ac:dyDescent="0.25">
      <c r="B1786" t="s">
        <v>3255</v>
      </c>
      <c r="C1786">
        <v>17689561</v>
      </c>
      <c r="D1786" t="str">
        <f>"4665297120488"</f>
        <v>4665297120488</v>
      </c>
      <c r="E1786" t="s">
        <v>3261</v>
      </c>
      <c r="F1786" t="s">
        <v>48</v>
      </c>
      <c r="G1786">
        <v>1</v>
      </c>
      <c r="H1786" t="s">
        <v>15</v>
      </c>
      <c r="I1786" t="s">
        <v>16</v>
      </c>
      <c r="J1786" t="s">
        <v>3192</v>
      </c>
      <c r="L1786" t="s">
        <v>18</v>
      </c>
      <c r="M1786" t="s">
        <v>3262</v>
      </c>
    </row>
    <row r="1787" spans="2:13" x14ac:dyDescent="0.25">
      <c r="B1787" t="s">
        <v>3263</v>
      </c>
      <c r="C1787">
        <v>13807858</v>
      </c>
      <c r="D1787" t="str">
        <f>"4620009110928"</f>
        <v>4620009110928</v>
      </c>
      <c r="E1787" t="s">
        <v>3264</v>
      </c>
      <c r="F1787" t="s">
        <v>14</v>
      </c>
      <c r="G1787">
        <v>1</v>
      </c>
      <c r="H1787" t="s">
        <v>15</v>
      </c>
      <c r="I1787" t="s">
        <v>16</v>
      </c>
      <c r="J1787" t="s">
        <v>1047</v>
      </c>
      <c r="L1787" t="s">
        <v>18</v>
      </c>
      <c r="M1787" t="s">
        <v>1144</v>
      </c>
    </row>
    <row r="1788" spans="2:13" x14ac:dyDescent="0.25">
      <c r="B1788" t="s">
        <v>3265</v>
      </c>
      <c r="C1788">
        <v>13807866</v>
      </c>
      <c r="D1788" t="str">
        <f>"4620009110935"</f>
        <v>4620009110935</v>
      </c>
      <c r="E1788" t="s">
        <v>3266</v>
      </c>
      <c r="F1788" t="s">
        <v>14</v>
      </c>
      <c r="G1788">
        <v>1</v>
      </c>
      <c r="H1788" t="s">
        <v>15</v>
      </c>
      <c r="I1788" t="s">
        <v>16</v>
      </c>
      <c r="J1788" t="s">
        <v>1047</v>
      </c>
      <c r="L1788" t="s">
        <v>18</v>
      </c>
      <c r="M1788" t="s">
        <v>3267</v>
      </c>
    </row>
    <row r="1789" spans="2:13" x14ac:dyDescent="0.25">
      <c r="B1789" t="s">
        <v>3268</v>
      </c>
      <c r="C1789">
        <v>14275283</v>
      </c>
      <c r="D1789" t="str">
        <f>"4640008386988"</f>
        <v>4640008386988</v>
      </c>
      <c r="E1789" t="s">
        <v>3269</v>
      </c>
      <c r="F1789" t="s">
        <v>109</v>
      </c>
      <c r="G1789">
        <v>1</v>
      </c>
      <c r="H1789" t="s">
        <v>15</v>
      </c>
      <c r="I1789" t="s">
        <v>16</v>
      </c>
      <c r="J1789" t="s">
        <v>269</v>
      </c>
      <c r="L1789" t="s">
        <v>18</v>
      </c>
      <c r="M1789" t="s">
        <v>3270</v>
      </c>
    </row>
    <row r="1790" spans="2:13" x14ac:dyDescent="0.25">
      <c r="B1790" t="s">
        <v>3268</v>
      </c>
      <c r="C1790">
        <v>14276251</v>
      </c>
      <c r="D1790" t="str">
        <f>"4640008386995"</f>
        <v>4640008386995</v>
      </c>
      <c r="E1790" t="s">
        <v>3271</v>
      </c>
      <c r="F1790" t="s">
        <v>43</v>
      </c>
      <c r="G1790">
        <v>1</v>
      </c>
      <c r="H1790" t="s">
        <v>15</v>
      </c>
      <c r="I1790" t="s">
        <v>16</v>
      </c>
      <c r="J1790" t="s">
        <v>269</v>
      </c>
      <c r="L1790" t="s">
        <v>18</v>
      </c>
      <c r="M1790" t="s">
        <v>3272</v>
      </c>
    </row>
    <row r="1791" spans="2:13" x14ac:dyDescent="0.25">
      <c r="B1791" t="s">
        <v>3268</v>
      </c>
      <c r="C1791">
        <v>16964023</v>
      </c>
      <c r="D1791" t="str">
        <f>"4665297120266"</f>
        <v>4665297120266</v>
      </c>
      <c r="E1791" t="s">
        <v>3273</v>
      </c>
      <c r="F1791" t="s">
        <v>406</v>
      </c>
      <c r="G1791">
        <v>1</v>
      </c>
      <c r="H1791" t="s">
        <v>15</v>
      </c>
      <c r="I1791" t="s">
        <v>16</v>
      </c>
      <c r="J1791" t="s">
        <v>3192</v>
      </c>
      <c r="L1791" t="s">
        <v>18</v>
      </c>
      <c r="M1791" t="s">
        <v>3274</v>
      </c>
    </row>
    <row r="1792" spans="2:13" x14ac:dyDescent="0.25">
      <c r="B1792" t="s">
        <v>3268</v>
      </c>
      <c r="C1792">
        <v>16964031</v>
      </c>
      <c r="D1792" t="str">
        <f>"4665297120273"</f>
        <v>4665297120273</v>
      </c>
      <c r="E1792" t="s">
        <v>3275</v>
      </c>
      <c r="F1792" t="s">
        <v>43</v>
      </c>
      <c r="G1792">
        <v>1</v>
      </c>
      <c r="H1792" t="s">
        <v>15</v>
      </c>
      <c r="I1792" t="s">
        <v>16</v>
      </c>
      <c r="J1792" t="s">
        <v>3192</v>
      </c>
      <c r="L1792" t="s">
        <v>18</v>
      </c>
      <c r="M1792" t="s">
        <v>3276</v>
      </c>
    </row>
    <row r="1793" spans="2:13" x14ac:dyDescent="0.25">
      <c r="B1793" t="s">
        <v>3268</v>
      </c>
      <c r="C1793">
        <v>16964074</v>
      </c>
      <c r="D1793" t="str">
        <f>"4665297120327"</f>
        <v>4665297120327</v>
      </c>
      <c r="E1793" t="s">
        <v>3277</v>
      </c>
      <c r="F1793" t="s">
        <v>191</v>
      </c>
      <c r="G1793">
        <v>1</v>
      </c>
      <c r="H1793" t="s">
        <v>15</v>
      </c>
      <c r="I1793" t="s">
        <v>16</v>
      </c>
      <c r="J1793" t="s">
        <v>3192</v>
      </c>
      <c r="L1793" t="s">
        <v>18</v>
      </c>
      <c r="M1793" t="s">
        <v>3274</v>
      </c>
    </row>
    <row r="1794" spans="2:13" x14ac:dyDescent="0.25">
      <c r="B1794" t="s">
        <v>3268</v>
      </c>
      <c r="C1794">
        <v>16964082</v>
      </c>
      <c r="D1794" t="str">
        <f>"4665297120334"</f>
        <v>4665297120334</v>
      </c>
      <c r="E1794" t="s">
        <v>3278</v>
      </c>
      <c r="F1794" t="s">
        <v>40</v>
      </c>
      <c r="G1794">
        <v>1</v>
      </c>
      <c r="H1794" t="s">
        <v>15</v>
      </c>
      <c r="I1794" t="s">
        <v>16</v>
      </c>
      <c r="J1794" t="s">
        <v>3192</v>
      </c>
      <c r="L1794" t="s">
        <v>18</v>
      </c>
      <c r="M1794" t="s">
        <v>3276</v>
      </c>
    </row>
    <row r="1795" spans="2:13" x14ac:dyDescent="0.25">
      <c r="B1795" t="s">
        <v>3268</v>
      </c>
      <c r="C1795">
        <v>16964120</v>
      </c>
      <c r="D1795" t="str">
        <f>"4665297120389"</f>
        <v>4665297120389</v>
      </c>
      <c r="E1795" t="s">
        <v>3279</v>
      </c>
      <c r="F1795" t="s">
        <v>31</v>
      </c>
      <c r="G1795">
        <v>1</v>
      </c>
      <c r="H1795" t="s">
        <v>15</v>
      </c>
      <c r="I1795" t="s">
        <v>16</v>
      </c>
      <c r="J1795" t="s">
        <v>3192</v>
      </c>
      <c r="L1795" t="s">
        <v>18</v>
      </c>
      <c r="M1795" t="s">
        <v>3280</v>
      </c>
    </row>
    <row r="1796" spans="2:13" x14ac:dyDescent="0.25">
      <c r="B1796" t="s">
        <v>3268</v>
      </c>
      <c r="C1796">
        <v>16964138</v>
      </c>
      <c r="D1796" t="str">
        <f>"4665297120396"</f>
        <v>4665297120396</v>
      </c>
      <c r="E1796" t="s">
        <v>3281</v>
      </c>
      <c r="F1796" t="s">
        <v>27</v>
      </c>
      <c r="G1796">
        <v>1</v>
      </c>
      <c r="H1796" t="s">
        <v>15</v>
      </c>
      <c r="I1796" t="s">
        <v>16</v>
      </c>
      <c r="J1796" t="s">
        <v>3192</v>
      </c>
      <c r="L1796" t="s">
        <v>18</v>
      </c>
      <c r="M1796" t="s">
        <v>3282</v>
      </c>
    </row>
    <row r="1797" spans="2:13" x14ac:dyDescent="0.25">
      <c r="B1797" t="s">
        <v>3268</v>
      </c>
      <c r="C1797">
        <v>17071294</v>
      </c>
      <c r="D1797" t="str">
        <f>"4640027140011"</f>
        <v>4640027140011</v>
      </c>
      <c r="E1797" t="s">
        <v>3283</v>
      </c>
      <c r="F1797" t="s">
        <v>491</v>
      </c>
      <c r="G1797">
        <v>1</v>
      </c>
      <c r="H1797" t="s">
        <v>18</v>
      </c>
      <c r="I1797" t="s">
        <v>16</v>
      </c>
      <c r="J1797" t="s">
        <v>3284</v>
      </c>
      <c r="L1797" t="s">
        <v>18</v>
      </c>
      <c r="M1797" t="s">
        <v>3285</v>
      </c>
    </row>
    <row r="1798" spans="2:13" x14ac:dyDescent="0.25">
      <c r="B1798" t="s">
        <v>3268</v>
      </c>
      <c r="C1798">
        <v>17071323</v>
      </c>
      <c r="D1798" t="str">
        <f>"4640027140035"</f>
        <v>4640027140035</v>
      </c>
      <c r="E1798" t="s">
        <v>3286</v>
      </c>
      <c r="F1798" t="s">
        <v>191</v>
      </c>
      <c r="G1798">
        <v>1</v>
      </c>
      <c r="H1798" t="s">
        <v>15</v>
      </c>
      <c r="I1798" t="s">
        <v>16</v>
      </c>
      <c r="J1798" t="s">
        <v>3284</v>
      </c>
      <c r="L1798" t="s">
        <v>18</v>
      </c>
      <c r="M1798" t="s">
        <v>3287</v>
      </c>
    </row>
    <row r="1799" spans="2:13" x14ac:dyDescent="0.25">
      <c r="B1799" t="s">
        <v>3268</v>
      </c>
      <c r="C1799">
        <v>17071358</v>
      </c>
      <c r="D1799" t="str">
        <f>"4640027140028"</f>
        <v>4640027140028</v>
      </c>
      <c r="E1799" t="s">
        <v>3288</v>
      </c>
      <c r="F1799" t="s">
        <v>268</v>
      </c>
      <c r="G1799">
        <v>1</v>
      </c>
      <c r="H1799" t="s">
        <v>18</v>
      </c>
      <c r="I1799" t="s">
        <v>16</v>
      </c>
      <c r="J1799" t="s">
        <v>3284</v>
      </c>
      <c r="L1799" t="s">
        <v>18</v>
      </c>
      <c r="M1799" t="s">
        <v>3289</v>
      </c>
    </row>
    <row r="1800" spans="2:13" x14ac:dyDescent="0.25">
      <c r="B1800" t="s">
        <v>3268</v>
      </c>
      <c r="C1800">
        <v>17071382</v>
      </c>
      <c r="D1800" t="str">
        <f>"4640027140042"</f>
        <v>4640027140042</v>
      </c>
      <c r="E1800" t="s">
        <v>3290</v>
      </c>
      <c r="F1800" t="s">
        <v>525</v>
      </c>
      <c r="G1800">
        <v>1</v>
      </c>
      <c r="H1800" t="s">
        <v>18</v>
      </c>
      <c r="I1800" t="s">
        <v>16</v>
      </c>
      <c r="J1800" t="s">
        <v>3284</v>
      </c>
      <c r="L1800" t="s">
        <v>18</v>
      </c>
      <c r="M1800" t="s">
        <v>3291</v>
      </c>
    </row>
    <row r="1801" spans="2:13" x14ac:dyDescent="0.25">
      <c r="B1801" t="s">
        <v>3268</v>
      </c>
      <c r="C1801">
        <v>17071411</v>
      </c>
      <c r="D1801" t="str">
        <f>"4640027140059"</f>
        <v>4640027140059</v>
      </c>
      <c r="E1801" t="s">
        <v>3292</v>
      </c>
      <c r="F1801" t="s">
        <v>43</v>
      </c>
      <c r="G1801">
        <v>1</v>
      </c>
      <c r="H1801" t="s">
        <v>18</v>
      </c>
      <c r="I1801" t="s">
        <v>16</v>
      </c>
      <c r="J1801" t="s">
        <v>3284</v>
      </c>
      <c r="L1801" t="s">
        <v>18</v>
      </c>
      <c r="M1801" t="s">
        <v>3293</v>
      </c>
    </row>
    <row r="1802" spans="2:13" x14ac:dyDescent="0.25">
      <c r="B1802" t="s">
        <v>3268</v>
      </c>
      <c r="C1802">
        <v>17071446</v>
      </c>
      <c r="D1802" t="str">
        <f>"4640027140066"</f>
        <v>4640027140066</v>
      </c>
      <c r="E1802" t="s">
        <v>3294</v>
      </c>
      <c r="F1802" t="s">
        <v>406</v>
      </c>
      <c r="G1802">
        <v>1</v>
      </c>
      <c r="H1802" t="s">
        <v>18</v>
      </c>
      <c r="I1802" t="s">
        <v>16</v>
      </c>
      <c r="J1802" t="s">
        <v>3284</v>
      </c>
      <c r="L1802" t="s">
        <v>18</v>
      </c>
      <c r="M1802" t="s">
        <v>3295</v>
      </c>
    </row>
    <row r="1803" spans="2:13" x14ac:dyDescent="0.25">
      <c r="B1803" t="s">
        <v>3268</v>
      </c>
      <c r="C1803">
        <v>17114291</v>
      </c>
      <c r="D1803" t="str">
        <f>"4813036008362"</f>
        <v>4813036008362</v>
      </c>
      <c r="E1803" t="s">
        <v>3296</v>
      </c>
      <c r="F1803" t="s">
        <v>48</v>
      </c>
      <c r="G1803">
        <v>1</v>
      </c>
      <c r="H1803" t="s">
        <v>18</v>
      </c>
      <c r="I1803" t="s">
        <v>16</v>
      </c>
      <c r="J1803" t="s">
        <v>3181</v>
      </c>
      <c r="L1803" t="s">
        <v>18</v>
      </c>
      <c r="M1803" t="s">
        <v>3297</v>
      </c>
    </row>
    <row r="1804" spans="2:13" x14ac:dyDescent="0.25">
      <c r="B1804" t="s">
        <v>3268</v>
      </c>
      <c r="C1804">
        <v>17114303</v>
      </c>
      <c r="D1804" t="str">
        <f>"4813036008386"</f>
        <v>4813036008386</v>
      </c>
      <c r="E1804" t="s">
        <v>3298</v>
      </c>
      <c r="F1804" t="s">
        <v>194</v>
      </c>
      <c r="G1804">
        <v>1</v>
      </c>
      <c r="H1804" t="s">
        <v>18</v>
      </c>
      <c r="I1804" t="s">
        <v>16</v>
      </c>
      <c r="J1804" t="s">
        <v>3181</v>
      </c>
      <c r="L1804" t="s">
        <v>18</v>
      </c>
      <c r="M1804" t="s">
        <v>3297</v>
      </c>
    </row>
    <row r="1805" spans="2:13" x14ac:dyDescent="0.25">
      <c r="B1805" t="s">
        <v>3268</v>
      </c>
      <c r="C1805">
        <v>17114354</v>
      </c>
      <c r="D1805" t="str">
        <f>"4813036008416"</f>
        <v>4813036008416</v>
      </c>
      <c r="E1805" t="s">
        <v>3299</v>
      </c>
      <c r="F1805" t="s">
        <v>194</v>
      </c>
      <c r="G1805">
        <v>0</v>
      </c>
      <c r="H1805" t="s">
        <v>15</v>
      </c>
      <c r="I1805" t="s">
        <v>16</v>
      </c>
      <c r="J1805" t="s">
        <v>3181</v>
      </c>
      <c r="K1805" s="1">
        <v>42926</v>
      </c>
      <c r="L1805" t="s">
        <v>18</v>
      </c>
      <c r="M1805" t="s">
        <v>3300</v>
      </c>
    </row>
    <row r="1806" spans="2:13" x14ac:dyDescent="0.25">
      <c r="B1806" t="s">
        <v>3268</v>
      </c>
      <c r="C1806">
        <v>17114362</v>
      </c>
      <c r="D1806" t="str">
        <f>"4813036008423"</f>
        <v>4813036008423</v>
      </c>
      <c r="E1806" t="s">
        <v>3301</v>
      </c>
      <c r="F1806" t="s">
        <v>14</v>
      </c>
      <c r="G1806">
        <v>0</v>
      </c>
      <c r="H1806" t="s">
        <v>15</v>
      </c>
      <c r="I1806" t="s">
        <v>16</v>
      </c>
      <c r="J1806" t="s">
        <v>3181</v>
      </c>
      <c r="K1806" s="1">
        <v>42926</v>
      </c>
      <c r="L1806" t="s">
        <v>18</v>
      </c>
      <c r="M1806" t="s">
        <v>3201</v>
      </c>
    </row>
    <row r="1807" spans="2:13" x14ac:dyDescent="0.25">
      <c r="B1807" t="s">
        <v>3268</v>
      </c>
      <c r="C1807">
        <v>17118312</v>
      </c>
      <c r="D1807" t="str">
        <f>"4610013365926"</f>
        <v>4610013365926</v>
      </c>
      <c r="E1807" t="s">
        <v>3302</v>
      </c>
      <c r="F1807" t="s">
        <v>21</v>
      </c>
      <c r="G1807">
        <v>1</v>
      </c>
      <c r="H1807" t="s">
        <v>15</v>
      </c>
      <c r="I1807" t="s">
        <v>16</v>
      </c>
      <c r="J1807" t="s">
        <v>3303</v>
      </c>
      <c r="L1807" t="s">
        <v>18</v>
      </c>
      <c r="M1807" t="s">
        <v>3304</v>
      </c>
    </row>
    <row r="1808" spans="2:13" x14ac:dyDescent="0.25">
      <c r="B1808" t="s">
        <v>3268</v>
      </c>
      <c r="C1808">
        <v>17118443</v>
      </c>
      <c r="D1808" t="str">
        <f>"4610013365865"</f>
        <v>4610013365865</v>
      </c>
      <c r="E1808" t="s">
        <v>3305</v>
      </c>
      <c r="F1808" t="s">
        <v>43</v>
      </c>
      <c r="G1808">
        <v>1</v>
      </c>
      <c r="H1808" t="s">
        <v>15</v>
      </c>
      <c r="I1808" t="s">
        <v>16</v>
      </c>
      <c r="J1808" t="s">
        <v>3303</v>
      </c>
      <c r="L1808" t="s">
        <v>18</v>
      </c>
      <c r="M1808" t="s">
        <v>1462</v>
      </c>
    </row>
    <row r="1809" spans="2:13" x14ac:dyDescent="0.25">
      <c r="B1809" t="s">
        <v>3268</v>
      </c>
      <c r="C1809">
        <v>17118540</v>
      </c>
      <c r="D1809" t="str">
        <f>"4610013365858"</f>
        <v>4610013365858</v>
      </c>
      <c r="E1809" t="s">
        <v>3306</v>
      </c>
      <c r="F1809" t="s">
        <v>109</v>
      </c>
      <c r="G1809">
        <v>1</v>
      </c>
      <c r="H1809" t="s">
        <v>18</v>
      </c>
      <c r="I1809" t="s">
        <v>16</v>
      </c>
      <c r="J1809" t="s">
        <v>3303</v>
      </c>
      <c r="L1809" t="s">
        <v>18</v>
      </c>
      <c r="M1809" t="s">
        <v>3307</v>
      </c>
    </row>
    <row r="1810" spans="2:13" x14ac:dyDescent="0.25">
      <c r="B1810" t="s">
        <v>3268</v>
      </c>
      <c r="C1810">
        <v>17179297</v>
      </c>
      <c r="D1810" t="str">
        <f>"4680209007886"</f>
        <v>4680209007886</v>
      </c>
      <c r="E1810" t="s">
        <v>3308</v>
      </c>
      <c r="F1810" t="s">
        <v>21</v>
      </c>
      <c r="G1810">
        <v>1</v>
      </c>
      <c r="H1810" t="s">
        <v>15</v>
      </c>
      <c r="I1810" t="s">
        <v>16</v>
      </c>
      <c r="J1810" t="s">
        <v>3309</v>
      </c>
      <c r="L1810" t="s">
        <v>18</v>
      </c>
      <c r="M1810" t="s">
        <v>3310</v>
      </c>
    </row>
    <row r="1811" spans="2:13" x14ac:dyDescent="0.25">
      <c r="B1811" t="s">
        <v>3268</v>
      </c>
      <c r="C1811">
        <v>17179318</v>
      </c>
      <c r="D1811" t="str">
        <f>"4680209007909"</f>
        <v>4680209007909</v>
      </c>
      <c r="E1811" t="s">
        <v>3311</v>
      </c>
      <c r="F1811" t="s">
        <v>34</v>
      </c>
      <c r="G1811">
        <v>0</v>
      </c>
      <c r="H1811" t="s">
        <v>15</v>
      </c>
      <c r="I1811" t="s">
        <v>16</v>
      </c>
      <c r="J1811" t="s">
        <v>3309</v>
      </c>
      <c r="L1811" t="s">
        <v>18</v>
      </c>
      <c r="M1811" t="s">
        <v>3312</v>
      </c>
    </row>
    <row r="1812" spans="2:13" x14ac:dyDescent="0.25">
      <c r="B1812" t="s">
        <v>3268</v>
      </c>
      <c r="C1812">
        <v>17179369</v>
      </c>
      <c r="D1812" t="str">
        <f>"4680209007954"</f>
        <v>4680209007954</v>
      </c>
      <c r="E1812" t="s">
        <v>3313</v>
      </c>
      <c r="F1812" t="s">
        <v>40</v>
      </c>
      <c r="G1812">
        <v>1</v>
      </c>
      <c r="H1812" t="s">
        <v>15</v>
      </c>
      <c r="I1812" t="s">
        <v>16</v>
      </c>
      <c r="J1812" t="s">
        <v>3309</v>
      </c>
      <c r="L1812" t="s">
        <v>18</v>
      </c>
      <c r="M1812" t="s">
        <v>3314</v>
      </c>
    </row>
    <row r="1813" spans="2:13" x14ac:dyDescent="0.25">
      <c r="B1813" t="s">
        <v>3268</v>
      </c>
      <c r="C1813">
        <v>17179377</v>
      </c>
      <c r="D1813" t="str">
        <f>"4680209007961"</f>
        <v>4680209007961</v>
      </c>
      <c r="E1813" t="s">
        <v>3315</v>
      </c>
      <c r="F1813" t="s">
        <v>34</v>
      </c>
      <c r="G1813">
        <v>1</v>
      </c>
      <c r="H1813" t="s">
        <v>15</v>
      </c>
      <c r="I1813" t="s">
        <v>16</v>
      </c>
      <c r="J1813" t="s">
        <v>3309</v>
      </c>
      <c r="L1813" t="s">
        <v>18</v>
      </c>
      <c r="M1813" t="s">
        <v>1183</v>
      </c>
    </row>
    <row r="1814" spans="2:13" x14ac:dyDescent="0.25">
      <c r="B1814" t="s">
        <v>3268</v>
      </c>
      <c r="C1814">
        <v>17179393</v>
      </c>
      <c r="D1814" t="str">
        <f>"4680209007985"</f>
        <v>4680209007985</v>
      </c>
      <c r="E1814" t="s">
        <v>3316</v>
      </c>
      <c r="F1814" t="s">
        <v>194</v>
      </c>
      <c r="G1814">
        <v>1</v>
      </c>
      <c r="H1814" t="s">
        <v>15</v>
      </c>
      <c r="I1814" t="s">
        <v>16</v>
      </c>
      <c r="J1814" t="s">
        <v>3309</v>
      </c>
      <c r="L1814" t="s">
        <v>18</v>
      </c>
      <c r="M1814" t="s">
        <v>3317</v>
      </c>
    </row>
    <row r="1815" spans="2:13" x14ac:dyDescent="0.25">
      <c r="B1815" t="s">
        <v>3268</v>
      </c>
      <c r="C1815">
        <v>17179406</v>
      </c>
      <c r="D1815" t="str">
        <f>"4680209007992"</f>
        <v>4680209007992</v>
      </c>
      <c r="E1815" t="s">
        <v>3318</v>
      </c>
      <c r="F1815" t="s">
        <v>194</v>
      </c>
      <c r="G1815">
        <v>1</v>
      </c>
      <c r="H1815" t="s">
        <v>15</v>
      </c>
      <c r="I1815" t="s">
        <v>16</v>
      </c>
      <c r="J1815" t="s">
        <v>3309</v>
      </c>
      <c r="L1815" t="s">
        <v>18</v>
      </c>
      <c r="M1815" t="s">
        <v>3319</v>
      </c>
    </row>
    <row r="1816" spans="2:13" x14ac:dyDescent="0.25">
      <c r="B1816" t="s">
        <v>3268</v>
      </c>
      <c r="C1816">
        <v>17179422</v>
      </c>
      <c r="D1816" t="str">
        <f>"4680209008012"</f>
        <v>4680209008012</v>
      </c>
      <c r="E1816" t="s">
        <v>3320</v>
      </c>
      <c r="F1816" t="s">
        <v>43</v>
      </c>
      <c r="G1816">
        <v>1</v>
      </c>
      <c r="H1816" t="s">
        <v>15</v>
      </c>
      <c r="I1816" t="s">
        <v>51</v>
      </c>
      <c r="J1816" t="s">
        <v>3309</v>
      </c>
      <c r="L1816" t="s">
        <v>18</v>
      </c>
      <c r="M1816" t="s">
        <v>3321</v>
      </c>
    </row>
    <row r="1817" spans="2:13" x14ac:dyDescent="0.25">
      <c r="B1817" t="s">
        <v>3268</v>
      </c>
      <c r="C1817">
        <v>17179473</v>
      </c>
      <c r="D1817" t="str">
        <f>"4680209008050"</f>
        <v>4680209008050</v>
      </c>
      <c r="E1817" t="s">
        <v>3322</v>
      </c>
      <c r="F1817" t="s">
        <v>34</v>
      </c>
      <c r="G1817">
        <v>1</v>
      </c>
      <c r="H1817" t="s">
        <v>15</v>
      </c>
      <c r="I1817" t="s">
        <v>16</v>
      </c>
      <c r="J1817" t="s">
        <v>3309</v>
      </c>
      <c r="L1817" t="s">
        <v>18</v>
      </c>
      <c r="M1817" t="s">
        <v>3323</v>
      </c>
    </row>
    <row r="1818" spans="2:13" x14ac:dyDescent="0.25">
      <c r="B1818" t="s">
        <v>3268</v>
      </c>
      <c r="C1818">
        <v>17179537</v>
      </c>
      <c r="D1818" t="str">
        <f>"4680209008104"</f>
        <v>4680209008104</v>
      </c>
      <c r="E1818" t="s">
        <v>3324</v>
      </c>
      <c r="F1818" t="s">
        <v>48</v>
      </c>
      <c r="G1818">
        <v>1</v>
      </c>
      <c r="H1818" t="s">
        <v>15</v>
      </c>
      <c r="I1818" t="s">
        <v>16</v>
      </c>
      <c r="J1818" t="s">
        <v>3309</v>
      </c>
      <c r="L1818" t="s">
        <v>18</v>
      </c>
      <c r="M1818" t="s">
        <v>3325</v>
      </c>
    </row>
    <row r="1819" spans="2:13" x14ac:dyDescent="0.25">
      <c r="B1819" t="s">
        <v>3268</v>
      </c>
      <c r="C1819">
        <v>17179545</v>
      </c>
      <c r="D1819" t="str">
        <f>"4680209008111"</f>
        <v>4680209008111</v>
      </c>
      <c r="E1819" t="s">
        <v>3326</v>
      </c>
      <c r="F1819" t="s">
        <v>34</v>
      </c>
      <c r="G1819">
        <v>1</v>
      </c>
      <c r="H1819" t="s">
        <v>15</v>
      </c>
      <c r="I1819" t="s">
        <v>16</v>
      </c>
      <c r="J1819" t="s">
        <v>3309</v>
      </c>
      <c r="L1819" t="s">
        <v>18</v>
      </c>
      <c r="M1819" t="s">
        <v>3327</v>
      </c>
    </row>
    <row r="1820" spans="2:13" x14ac:dyDescent="0.25">
      <c r="B1820" t="s">
        <v>3268</v>
      </c>
      <c r="C1820">
        <v>17412335</v>
      </c>
      <c r="D1820" t="str">
        <f>"2000174123350"</f>
        <v>2000174123350</v>
      </c>
      <c r="E1820" t="s">
        <v>3328</v>
      </c>
      <c r="F1820" t="s">
        <v>227</v>
      </c>
      <c r="G1820">
        <v>1</v>
      </c>
      <c r="H1820" t="s">
        <v>18</v>
      </c>
      <c r="I1820" t="s">
        <v>16</v>
      </c>
      <c r="J1820" t="s">
        <v>3169</v>
      </c>
      <c r="L1820" t="s">
        <v>18</v>
      </c>
      <c r="M1820" t="s">
        <v>3329</v>
      </c>
    </row>
    <row r="1821" spans="2:13" x14ac:dyDescent="0.25">
      <c r="B1821" t="s">
        <v>3268</v>
      </c>
      <c r="C1821">
        <v>17806641</v>
      </c>
      <c r="D1821" t="str">
        <f>"4640008391784"</f>
        <v>4640008391784</v>
      </c>
      <c r="E1821" t="s">
        <v>3330</v>
      </c>
      <c r="F1821" t="s">
        <v>109</v>
      </c>
      <c r="G1821">
        <v>1</v>
      </c>
      <c r="H1821" t="s">
        <v>15</v>
      </c>
      <c r="I1821" t="s">
        <v>16</v>
      </c>
      <c r="J1821" t="s">
        <v>269</v>
      </c>
      <c r="L1821" t="s">
        <v>18</v>
      </c>
      <c r="M1821" t="s">
        <v>3331</v>
      </c>
    </row>
    <row r="1822" spans="2:13" x14ac:dyDescent="0.25">
      <c r="B1822" t="s">
        <v>3268</v>
      </c>
      <c r="C1822">
        <v>17806650</v>
      </c>
      <c r="D1822" t="str">
        <f>"4640008392026"</f>
        <v>4640008392026</v>
      </c>
      <c r="E1822" t="s">
        <v>3332</v>
      </c>
      <c r="F1822" t="s">
        <v>48</v>
      </c>
      <c r="G1822">
        <v>1</v>
      </c>
      <c r="H1822" t="s">
        <v>15</v>
      </c>
      <c r="I1822" t="s">
        <v>16</v>
      </c>
      <c r="J1822" t="s">
        <v>269</v>
      </c>
      <c r="L1822" t="s">
        <v>18</v>
      </c>
      <c r="M1822" t="s">
        <v>3331</v>
      </c>
    </row>
    <row r="1823" spans="2:13" x14ac:dyDescent="0.25">
      <c r="B1823" t="s">
        <v>3268</v>
      </c>
      <c r="C1823">
        <v>17806668</v>
      </c>
      <c r="D1823" t="str">
        <f>"4640008389675"</f>
        <v>4640008389675</v>
      </c>
      <c r="E1823" t="s">
        <v>3333</v>
      </c>
      <c r="F1823" t="s">
        <v>21</v>
      </c>
      <c r="G1823">
        <v>1</v>
      </c>
      <c r="H1823" t="s">
        <v>15</v>
      </c>
      <c r="I1823" t="s">
        <v>16</v>
      </c>
      <c r="J1823" t="s">
        <v>269</v>
      </c>
      <c r="L1823" t="s">
        <v>18</v>
      </c>
      <c r="M1823" t="s">
        <v>3334</v>
      </c>
    </row>
    <row r="1824" spans="2:13" x14ac:dyDescent="0.25">
      <c r="B1824" t="s">
        <v>3268</v>
      </c>
      <c r="C1824">
        <v>17806676</v>
      </c>
      <c r="D1824" t="str">
        <f>"4640008389682"</f>
        <v>4640008389682</v>
      </c>
      <c r="E1824" t="s">
        <v>3335</v>
      </c>
      <c r="F1824" t="s">
        <v>27</v>
      </c>
      <c r="G1824">
        <v>1</v>
      </c>
      <c r="H1824" t="s">
        <v>15</v>
      </c>
      <c r="I1824" t="s">
        <v>16</v>
      </c>
      <c r="J1824" t="s">
        <v>269</v>
      </c>
      <c r="L1824" t="s">
        <v>18</v>
      </c>
      <c r="M1824" t="s">
        <v>3334</v>
      </c>
    </row>
    <row r="1825" spans="2:13" x14ac:dyDescent="0.25">
      <c r="B1825" t="s">
        <v>3268</v>
      </c>
      <c r="C1825">
        <v>18340433</v>
      </c>
      <c r="D1825" t="str">
        <f>"4813036009482"</f>
        <v>4813036009482</v>
      </c>
      <c r="E1825" t="s">
        <v>3336</v>
      </c>
      <c r="F1825" t="s">
        <v>27</v>
      </c>
      <c r="G1825">
        <v>1</v>
      </c>
      <c r="H1825" t="s">
        <v>18</v>
      </c>
      <c r="I1825" t="s">
        <v>16</v>
      </c>
      <c r="J1825" t="s">
        <v>3181</v>
      </c>
      <c r="L1825" t="s">
        <v>18</v>
      </c>
      <c r="M1825" t="s">
        <v>3297</v>
      </c>
    </row>
    <row r="1826" spans="2:13" x14ac:dyDescent="0.25">
      <c r="B1826" t="s">
        <v>3268</v>
      </c>
      <c r="C1826">
        <v>18639232</v>
      </c>
      <c r="D1826" t="str">
        <f>"2000186392324"</f>
        <v>2000186392324</v>
      </c>
      <c r="E1826" t="s">
        <v>3337</v>
      </c>
      <c r="F1826" t="s">
        <v>194</v>
      </c>
      <c r="G1826">
        <v>1</v>
      </c>
      <c r="H1826" t="s">
        <v>18</v>
      </c>
      <c r="I1826" t="s">
        <v>51</v>
      </c>
      <c r="J1826" t="s">
        <v>3338</v>
      </c>
      <c r="L1826" t="s">
        <v>18</v>
      </c>
      <c r="M1826" t="s">
        <v>3339</v>
      </c>
    </row>
    <row r="1827" spans="2:13" x14ac:dyDescent="0.25">
      <c r="B1827" t="s">
        <v>3268</v>
      </c>
      <c r="C1827">
        <v>18639291</v>
      </c>
      <c r="D1827" t="str">
        <f>"4627125410574"</f>
        <v>4627125410574</v>
      </c>
      <c r="E1827" t="s">
        <v>3340</v>
      </c>
      <c r="F1827" t="s">
        <v>194</v>
      </c>
      <c r="G1827">
        <v>1</v>
      </c>
      <c r="H1827" t="s">
        <v>18</v>
      </c>
      <c r="I1827" t="s">
        <v>51</v>
      </c>
      <c r="J1827" t="s">
        <v>3338</v>
      </c>
      <c r="L1827" t="s">
        <v>18</v>
      </c>
      <c r="M1827" t="s">
        <v>3341</v>
      </c>
    </row>
    <row r="1828" spans="2:13" x14ac:dyDescent="0.25">
      <c r="B1828" t="s">
        <v>3268</v>
      </c>
      <c r="C1828">
        <v>18639304</v>
      </c>
      <c r="D1828" t="str">
        <f>"4627125410581"</f>
        <v>4627125410581</v>
      </c>
      <c r="E1828" t="s">
        <v>3342</v>
      </c>
      <c r="F1828" t="s">
        <v>194</v>
      </c>
      <c r="G1828">
        <v>1</v>
      </c>
      <c r="H1828" t="s">
        <v>18</v>
      </c>
      <c r="I1828" t="s">
        <v>51</v>
      </c>
      <c r="J1828" t="s">
        <v>3338</v>
      </c>
      <c r="L1828" t="s">
        <v>18</v>
      </c>
      <c r="M1828" t="s">
        <v>3343</v>
      </c>
    </row>
    <row r="1829" spans="2:13" x14ac:dyDescent="0.25">
      <c r="B1829" t="s">
        <v>3344</v>
      </c>
      <c r="C1829">
        <v>13794962</v>
      </c>
      <c r="D1829" t="str">
        <f>"4620008196831"</f>
        <v>4620008196831</v>
      </c>
      <c r="E1829" t="s">
        <v>3345</v>
      </c>
      <c r="F1829" t="s">
        <v>109</v>
      </c>
      <c r="G1829">
        <v>1</v>
      </c>
      <c r="H1829" t="s">
        <v>15</v>
      </c>
      <c r="I1829" t="s">
        <v>16</v>
      </c>
      <c r="J1829" t="s">
        <v>269</v>
      </c>
      <c r="L1829" t="s">
        <v>18</v>
      </c>
      <c r="M1829" t="s">
        <v>3346</v>
      </c>
    </row>
    <row r="1830" spans="2:13" x14ac:dyDescent="0.25">
      <c r="B1830" t="s">
        <v>3344</v>
      </c>
      <c r="C1830">
        <v>13794989</v>
      </c>
      <c r="D1830" t="str">
        <f>"4620008196824"</f>
        <v>4620008196824</v>
      </c>
      <c r="E1830" t="s">
        <v>3347</v>
      </c>
      <c r="F1830" t="s">
        <v>191</v>
      </c>
      <c r="G1830">
        <v>1</v>
      </c>
      <c r="H1830" t="s">
        <v>15</v>
      </c>
      <c r="I1830" t="s">
        <v>16</v>
      </c>
      <c r="J1830" t="s">
        <v>269</v>
      </c>
      <c r="L1830" t="s">
        <v>18</v>
      </c>
      <c r="M1830" t="s">
        <v>3348</v>
      </c>
    </row>
    <row r="1831" spans="2:13" x14ac:dyDescent="0.25">
      <c r="B1831" t="s">
        <v>3344</v>
      </c>
      <c r="C1831">
        <v>14276235</v>
      </c>
      <c r="D1831" t="str">
        <f>"5907720670016"</f>
        <v>5907720670016</v>
      </c>
      <c r="E1831" t="s">
        <v>3349</v>
      </c>
      <c r="F1831" t="s">
        <v>227</v>
      </c>
      <c r="G1831">
        <v>1</v>
      </c>
      <c r="H1831" t="s">
        <v>15</v>
      </c>
      <c r="I1831" t="s">
        <v>16</v>
      </c>
      <c r="J1831" t="s">
        <v>269</v>
      </c>
      <c r="L1831" t="s">
        <v>18</v>
      </c>
      <c r="M1831" t="s">
        <v>3350</v>
      </c>
    </row>
    <row r="1832" spans="2:13" x14ac:dyDescent="0.25">
      <c r="B1832" t="s">
        <v>3344</v>
      </c>
      <c r="C1832">
        <v>14276278</v>
      </c>
      <c r="D1832" t="str">
        <f>"4620008197746"</f>
        <v>4620008197746</v>
      </c>
      <c r="E1832" t="s">
        <v>3351</v>
      </c>
      <c r="F1832" t="s">
        <v>21</v>
      </c>
      <c r="G1832">
        <v>1</v>
      </c>
      <c r="H1832" t="s">
        <v>15</v>
      </c>
      <c r="I1832" t="s">
        <v>16</v>
      </c>
      <c r="J1832" t="s">
        <v>269</v>
      </c>
      <c r="L1832" t="s">
        <v>18</v>
      </c>
      <c r="M1832" t="s">
        <v>3352</v>
      </c>
    </row>
    <row r="1833" spans="2:13" x14ac:dyDescent="0.25">
      <c r="B1833" t="s">
        <v>3344</v>
      </c>
      <c r="C1833">
        <v>16935396</v>
      </c>
      <c r="D1833" t="str">
        <f>"4620008195452"</f>
        <v>4620008195452</v>
      </c>
      <c r="E1833" t="s">
        <v>3353</v>
      </c>
      <c r="F1833" t="s">
        <v>21</v>
      </c>
      <c r="G1833">
        <v>1</v>
      </c>
      <c r="H1833" t="s">
        <v>15</v>
      </c>
      <c r="I1833" t="s">
        <v>16</v>
      </c>
      <c r="J1833" t="s">
        <v>3354</v>
      </c>
      <c r="L1833" t="s">
        <v>18</v>
      </c>
      <c r="M1833" t="s">
        <v>1242</v>
      </c>
    </row>
    <row r="1834" spans="2:13" x14ac:dyDescent="0.25">
      <c r="B1834" t="s">
        <v>3344</v>
      </c>
      <c r="C1834">
        <v>16935425</v>
      </c>
      <c r="D1834" t="str">
        <f>"4620008192734"</f>
        <v>4620008192734</v>
      </c>
      <c r="E1834" t="s">
        <v>3355</v>
      </c>
      <c r="F1834" t="s">
        <v>194</v>
      </c>
      <c r="G1834">
        <v>1</v>
      </c>
      <c r="H1834" t="s">
        <v>15</v>
      </c>
      <c r="I1834" t="s">
        <v>51</v>
      </c>
      <c r="J1834" t="s">
        <v>3354</v>
      </c>
      <c r="L1834" t="s">
        <v>18</v>
      </c>
      <c r="M1834" t="s">
        <v>3356</v>
      </c>
    </row>
    <row r="1835" spans="2:13" x14ac:dyDescent="0.25">
      <c r="B1835" t="s">
        <v>3344</v>
      </c>
      <c r="C1835">
        <v>16935433</v>
      </c>
      <c r="D1835" t="str">
        <f>"4660018640085"</f>
        <v>4660018640085</v>
      </c>
      <c r="E1835" t="s">
        <v>3357</v>
      </c>
      <c r="F1835" t="s">
        <v>21</v>
      </c>
      <c r="G1835">
        <v>1</v>
      </c>
      <c r="H1835" t="s">
        <v>15</v>
      </c>
      <c r="I1835" t="s">
        <v>16</v>
      </c>
      <c r="J1835" t="s">
        <v>3354</v>
      </c>
      <c r="L1835" t="s">
        <v>18</v>
      </c>
      <c r="M1835" t="s">
        <v>3358</v>
      </c>
    </row>
    <row r="1836" spans="2:13" x14ac:dyDescent="0.25">
      <c r="B1836" t="s">
        <v>3344</v>
      </c>
      <c r="C1836">
        <v>16935441</v>
      </c>
      <c r="D1836" t="str">
        <f>"4660018640283"</f>
        <v>4660018640283</v>
      </c>
      <c r="E1836" t="s">
        <v>3359</v>
      </c>
      <c r="F1836" t="s">
        <v>194</v>
      </c>
      <c r="G1836">
        <v>1</v>
      </c>
      <c r="H1836" t="s">
        <v>15</v>
      </c>
      <c r="I1836" t="s">
        <v>16</v>
      </c>
      <c r="J1836" t="s">
        <v>3354</v>
      </c>
      <c r="L1836" t="s">
        <v>18</v>
      </c>
      <c r="M1836" t="s">
        <v>2842</v>
      </c>
    </row>
    <row r="1837" spans="2:13" x14ac:dyDescent="0.25">
      <c r="B1837" t="s">
        <v>3344</v>
      </c>
      <c r="C1837">
        <v>16935468</v>
      </c>
      <c r="D1837" t="str">
        <f>"4620000149897"</f>
        <v>4620000149897</v>
      </c>
      <c r="E1837" t="s">
        <v>3360</v>
      </c>
      <c r="F1837" t="s">
        <v>649</v>
      </c>
      <c r="G1837">
        <v>1</v>
      </c>
      <c r="H1837" t="s">
        <v>15</v>
      </c>
      <c r="I1837" t="s">
        <v>16</v>
      </c>
      <c r="J1837" t="s">
        <v>3354</v>
      </c>
      <c r="L1837" t="s">
        <v>18</v>
      </c>
      <c r="M1837" t="s">
        <v>2842</v>
      </c>
    </row>
    <row r="1838" spans="2:13" x14ac:dyDescent="0.25">
      <c r="B1838" t="s">
        <v>3344</v>
      </c>
      <c r="C1838">
        <v>16935476</v>
      </c>
      <c r="D1838" t="str">
        <f>"4607130028230"</f>
        <v>4607130028230</v>
      </c>
      <c r="E1838" t="s">
        <v>3361</v>
      </c>
      <c r="F1838" t="s">
        <v>40</v>
      </c>
      <c r="G1838">
        <v>1</v>
      </c>
      <c r="H1838" t="s">
        <v>15</v>
      </c>
      <c r="I1838" t="s">
        <v>16</v>
      </c>
      <c r="J1838" t="s">
        <v>3354</v>
      </c>
      <c r="L1838" t="s">
        <v>18</v>
      </c>
      <c r="M1838" t="s">
        <v>3362</v>
      </c>
    </row>
    <row r="1839" spans="2:13" x14ac:dyDescent="0.25">
      <c r="B1839" t="s">
        <v>3344</v>
      </c>
      <c r="C1839">
        <v>17071307</v>
      </c>
      <c r="D1839" t="str">
        <f>"4620000141303"</f>
        <v>4620000141303</v>
      </c>
      <c r="E1839" t="s">
        <v>3363</v>
      </c>
      <c r="F1839" t="s">
        <v>1561</v>
      </c>
      <c r="G1839">
        <v>1</v>
      </c>
      <c r="H1839" t="s">
        <v>18</v>
      </c>
      <c r="I1839" t="s">
        <v>16</v>
      </c>
      <c r="J1839" t="s">
        <v>3284</v>
      </c>
      <c r="L1839" t="s">
        <v>18</v>
      </c>
      <c r="M1839" t="s">
        <v>3364</v>
      </c>
    </row>
    <row r="1840" spans="2:13" x14ac:dyDescent="0.25">
      <c r="B1840" t="s">
        <v>3344</v>
      </c>
      <c r="C1840">
        <v>17071331</v>
      </c>
      <c r="D1840" t="str">
        <f>"4620000144618"</f>
        <v>4620000144618</v>
      </c>
      <c r="E1840" t="s">
        <v>3365</v>
      </c>
      <c r="F1840" t="s">
        <v>109</v>
      </c>
      <c r="G1840">
        <v>1</v>
      </c>
      <c r="H1840" t="s">
        <v>15</v>
      </c>
      <c r="I1840" t="s">
        <v>16</v>
      </c>
      <c r="J1840" t="s">
        <v>3284</v>
      </c>
      <c r="L1840" t="s">
        <v>18</v>
      </c>
      <c r="M1840" t="s">
        <v>3366</v>
      </c>
    </row>
    <row r="1841" spans="2:13" x14ac:dyDescent="0.25">
      <c r="B1841" t="s">
        <v>3344</v>
      </c>
      <c r="C1841">
        <v>17071391</v>
      </c>
      <c r="D1841" t="str">
        <f>"4620000141310"</f>
        <v>4620000141310</v>
      </c>
      <c r="E1841" t="s">
        <v>3367</v>
      </c>
      <c r="F1841" t="s">
        <v>366</v>
      </c>
      <c r="G1841">
        <v>1</v>
      </c>
      <c r="H1841" t="s">
        <v>18</v>
      </c>
      <c r="I1841" t="s">
        <v>16</v>
      </c>
      <c r="J1841" t="s">
        <v>3284</v>
      </c>
      <c r="L1841" t="s">
        <v>18</v>
      </c>
      <c r="M1841" t="s">
        <v>567</v>
      </c>
    </row>
    <row r="1842" spans="2:13" x14ac:dyDescent="0.25">
      <c r="B1842" t="s">
        <v>3344</v>
      </c>
      <c r="C1842">
        <v>17071454</v>
      </c>
      <c r="D1842" t="str">
        <f>"4620008197364"</f>
        <v>4620008197364</v>
      </c>
      <c r="E1842" t="s">
        <v>3368</v>
      </c>
      <c r="F1842" t="s">
        <v>174</v>
      </c>
      <c r="G1842">
        <v>1</v>
      </c>
      <c r="H1842" t="s">
        <v>18</v>
      </c>
      <c r="I1842" t="s">
        <v>16</v>
      </c>
      <c r="J1842" t="s">
        <v>3284</v>
      </c>
      <c r="L1842" t="s">
        <v>18</v>
      </c>
      <c r="M1842" t="s">
        <v>3183</v>
      </c>
    </row>
    <row r="1843" spans="2:13" x14ac:dyDescent="0.25">
      <c r="B1843" t="s">
        <v>3344</v>
      </c>
      <c r="C1843">
        <v>17118427</v>
      </c>
      <c r="D1843" t="str">
        <f>"4680008920027"</f>
        <v>4680008920027</v>
      </c>
      <c r="E1843" t="s">
        <v>3369</v>
      </c>
      <c r="F1843" t="s">
        <v>40</v>
      </c>
      <c r="G1843">
        <v>1</v>
      </c>
      <c r="H1843" t="s">
        <v>15</v>
      </c>
      <c r="I1843" t="s">
        <v>16</v>
      </c>
      <c r="J1843" t="s">
        <v>3303</v>
      </c>
      <c r="L1843" t="s">
        <v>18</v>
      </c>
      <c r="M1843" t="s">
        <v>3370</v>
      </c>
    </row>
    <row r="1844" spans="2:13" x14ac:dyDescent="0.25">
      <c r="B1844" t="s">
        <v>3344</v>
      </c>
      <c r="C1844">
        <v>17118558</v>
      </c>
      <c r="D1844" t="str">
        <f>"4607143310636"</f>
        <v>4607143310636</v>
      </c>
      <c r="E1844" t="s">
        <v>3371</v>
      </c>
      <c r="F1844" t="s">
        <v>21</v>
      </c>
      <c r="G1844">
        <v>1</v>
      </c>
      <c r="H1844" t="s">
        <v>15</v>
      </c>
      <c r="I1844" t="s">
        <v>16</v>
      </c>
      <c r="J1844" t="s">
        <v>3303</v>
      </c>
      <c r="L1844" t="s">
        <v>18</v>
      </c>
      <c r="M1844" t="s">
        <v>3372</v>
      </c>
    </row>
    <row r="1845" spans="2:13" x14ac:dyDescent="0.25">
      <c r="B1845" t="s">
        <v>3344</v>
      </c>
      <c r="C1845">
        <v>17178323</v>
      </c>
      <c r="D1845" t="str">
        <f>"4620008192475"</f>
        <v>4620008192475</v>
      </c>
      <c r="E1845" t="s">
        <v>3373</v>
      </c>
      <c r="F1845" t="s">
        <v>389</v>
      </c>
      <c r="G1845">
        <v>1</v>
      </c>
      <c r="H1845" t="s">
        <v>15</v>
      </c>
      <c r="I1845" t="s">
        <v>16</v>
      </c>
      <c r="J1845" t="s">
        <v>3172</v>
      </c>
      <c r="L1845" t="s">
        <v>18</v>
      </c>
      <c r="M1845" t="s">
        <v>3374</v>
      </c>
    </row>
    <row r="1846" spans="2:13" x14ac:dyDescent="0.25">
      <c r="B1846" t="s">
        <v>3344</v>
      </c>
      <c r="C1846">
        <v>17179431</v>
      </c>
      <c r="D1846" t="str">
        <f>"4680209008180"</f>
        <v>4680209008180</v>
      </c>
      <c r="E1846" t="s">
        <v>3375</v>
      </c>
      <c r="F1846" t="s">
        <v>43</v>
      </c>
      <c r="G1846">
        <v>1</v>
      </c>
      <c r="H1846" t="s">
        <v>15</v>
      </c>
      <c r="I1846" t="s">
        <v>16</v>
      </c>
      <c r="J1846" t="s">
        <v>3309</v>
      </c>
      <c r="L1846" t="s">
        <v>18</v>
      </c>
      <c r="M1846" t="s">
        <v>3376</v>
      </c>
    </row>
    <row r="1847" spans="2:13" x14ac:dyDescent="0.25">
      <c r="B1847" t="s">
        <v>3344</v>
      </c>
      <c r="C1847">
        <v>17179481</v>
      </c>
      <c r="D1847" t="str">
        <f>"4680209008159"</f>
        <v>4680209008159</v>
      </c>
      <c r="E1847" t="s">
        <v>3377</v>
      </c>
      <c r="F1847" t="s">
        <v>14</v>
      </c>
      <c r="G1847">
        <v>1</v>
      </c>
      <c r="H1847" t="s">
        <v>15</v>
      </c>
      <c r="I1847" t="s">
        <v>16</v>
      </c>
      <c r="J1847" t="s">
        <v>3309</v>
      </c>
      <c r="L1847" t="s">
        <v>18</v>
      </c>
      <c r="M1847" t="s">
        <v>3378</v>
      </c>
    </row>
    <row r="1848" spans="2:13" x14ac:dyDescent="0.25">
      <c r="B1848" t="s">
        <v>3344</v>
      </c>
      <c r="C1848">
        <v>17179561</v>
      </c>
      <c r="D1848" t="str">
        <f>"4620000144687"</f>
        <v>4620000144687</v>
      </c>
      <c r="E1848" t="s">
        <v>3379</v>
      </c>
      <c r="F1848" t="s">
        <v>31</v>
      </c>
      <c r="G1848">
        <v>1</v>
      </c>
      <c r="H1848" t="s">
        <v>15</v>
      </c>
      <c r="I1848" t="s">
        <v>16</v>
      </c>
      <c r="J1848" t="s">
        <v>3309</v>
      </c>
      <c r="L1848" t="s">
        <v>18</v>
      </c>
      <c r="M1848" t="s">
        <v>3380</v>
      </c>
    </row>
    <row r="1849" spans="2:13" x14ac:dyDescent="0.25">
      <c r="B1849" t="s">
        <v>3344</v>
      </c>
      <c r="C1849">
        <v>17215631</v>
      </c>
      <c r="D1849" t="str">
        <f>"4640013393575"</f>
        <v>4640013393575</v>
      </c>
      <c r="E1849" t="s">
        <v>3381</v>
      </c>
      <c r="F1849" t="s">
        <v>34</v>
      </c>
      <c r="G1849">
        <v>1</v>
      </c>
      <c r="H1849" t="s">
        <v>15</v>
      </c>
      <c r="I1849" t="s">
        <v>16</v>
      </c>
      <c r="J1849" t="s">
        <v>171</v>
      </c>
      <c r="L1849" t="s">
        <v>18</v>
      </c>
      <c r="M1849" t="s">
        <v>1331</v>
      </c>
    </row>
    <row r="1850" spans="2:13" x14ac:dyDescent="0.25">
      <c r="B1850" t="s">
        <v>3344</v>
      </c>
      <c r="C1850">
        <v>17335368</v>
      </c>
      <c r="D1850" t="str">
        <f>"4607019636860"</f>
        <v>4607019636860</v>
      </c>
      <c r="E1850" t="s">
        <v>3382</v>
      </c>
      <c r="F1850" t="s">
        <v>194</v>
      </c>
      <c r="G1850">
        <v>1</v>
      </c>
      <c r="H1850" t="s">
        <v>15</v>
      </c>
      <c r="I1850" t="s">
        <v>16</v>
      </c>
      <c r="J1850" t="s">
        <v>171</v>
      </c>
      <c r="L1850" t="s">
        <v>18</v>
      </c>
      <c r="M1850" t="s">
        <v>3383</v>
      </c>
    </row>
    <row r="1851" spans="2:13" x14ac:dyDescent="0.25">
      <c r="B1851" t="s">
        <v>3344</v>
      </c>
      <c r="C1851">
        <v>17389358</v>
      </c>
      <c r="D1851" t="str">
        <f>"4640013397979"</f>
        <v>4640013397979</v>
      </c>
      <c r="E1851" t="s">
        <v>3384</v>
      </c>
      <c r="F1851" t="s">
        <v>191</v>
      </c>
      <c r="G1851">
        <v>1</v>
      </c>
      <c r="H1851" t="s">
        <v>15</v>
      </c>
      <c r="I1851" t="s">
        <v>16</v>
      </c>
      <c r="J1851" t="s">
        <v>171</v>
      </c>
      <c r="L1851" t="s">
        <v>18</v>
      </c>
      <c r="M1851" t="s">
        <v>3385</v>
      </c>
    </row>
    <row r="1852" spans="2:13" x14ac:dyDescent="0.25">
      <c r="B1852" t="s">
        <v>3344</v>
      </c>
      <c r="C1852">
        <v>17389366</v>
      </c>
      <c r="D1852" t="str">
        <f>"4607019637027"</f>
        <v>4607019637027</v>
      </c>
      <c r="E1852" t="s">
        <v>3386</v>
      </c>
      <c r="F1852" t="s">
        <v>14</v>
      </c>
      <c r="G1852">
        <v>1</v>
      </c>
      <c r="H1852" t="s">
        <v>15</v>
      </c>
      <c r="I1852" t="s">
        <v>16</v>
      </c>
      <c r="J1852" t="s">
        <v>171</v>
      </c>
      <c r="L1852" t="s">
        <v>18</v>
      </c>
      <c r="M1852" t="s">
        <v>3387</v>
      </c>
    </row>
    <row r="1853" spans="2:13" x14ac:dyDescent="0.25">
      <c r="B1853" t="s">
        <v>3344</v>
      </c>
      <c r="C1853">
        <v>17414453</v>
      </c>
      <c r="D1853" t="str">
        <f>"4607019637003"</f>
        <v>4607019637003</v>
      </c>
      <c r="E1853" t="s">
        <v>3388</v>
      </c>
      <c r="F1853" t="s">
        <v>27</v>
      </c>
      <c r="G1853">
        <v>1</v>
      </c>
      <c r="H1853" t="s">
        <v>15</v>
      </c>
      <c r="I1853" t="s">
        <v>16</v>
      </c>
      <c r="J1853" t="s">
        <v>171</v>
      </c>
      <c r="L1853" t="s">
        <v>18</v>
      </c>
      <c r="M1853" t="s">
        <v>1491</v>
      </c>
    </row>
    <row r="1854" spans="2:13" x14ac:dyDescent="0.25">
      <c r="B1854" t="s">
        <v>3344</v>
      </c>
      <c r="C1854">
        <v>18444865</v>
      </c>
      <c r="D1854" t="str">
        <f>"4690311045386"</f>
        <v>4690311045386</v>
      </c>
      <c r="E1854" t="s">
        <v>3389</v>
      </c>
      <c r="F1854" t="s">
        <v>268</v>
      </c>
      <c r="G1854">
        <v>1</v>
      </c>
      <c r="H1854" t="s">
        <v>18</v>
      </c>
      <c r="I1854" t="s">
        <v>16</v>
      </c>
      <c r="J1854" t="s">
        <v>175</v>
      </c>
      <c r="L1854" t="s">
        <v>18</v>
      </c>
      <c r="M1854" t="s">
        <v>3390</v>
      </c>
    </row>
    <row r="1855" spans="2:13" x14ac:dyDescent="0.25">
      <c r="B1855" t="s">
        <v>3344</v>
      </c>
      <c r="C1855">
        <v>18539776</v>
      </c>
      <c r="D1855" t="str">
        <f>"5907753231499"</f>
        <v>5907753231499</v>
      </c>
      <c r="E1855" t="s">
        <v>3391</v>
      </c>
      <c r="F1855" t="s">
        <v>40</v>
      </c>
      <c r="G1855">
        <v>1</v>
      </c>
      <c r="H1855" t="s">
        <v>15</v>
      </c>
      <c r="I1855" t="s">
        <v>16</v>
      </c>
      <c r="J1855" t="s">
        <v>3181</v>
      </c>
      <c r="L1855" t="s">
        <v>18</v>
      </c>
      <c r="M1855" t="s">
        <v>3392</v>
      </c>
    </row>
    <row r="1856" spans="2:13" x14ac:dyDescent="0.25">
      <c r="B1856" t="s">
        <v>3344</v>
      </c>
      <c r="C1856">
        <v>18639241</v>
      </c>
      <c r="D1856" t="str">
        <f>"2000186392416"</f>
        <v>2000186392416</v>
      </c>
      <c r="E1856" t="s">
        <v>3393</v>
      </c>
      <c r="F1856" t="s">
        <v>194</v>
      </c>
      <c r="G1856">
        <v>1</v>
      </c>
      <c r="H1856" t="s">
        <v>18</v>
      </c>
      <c r="I1856" t="s">
        <v>51</v>
      </c>
      <c r="J1856" t="s">
        <v>3338</v>
      </c>
      <c r="L1856" t="s">
        <v>18</v>
      </c>
      <c r="M1856" t="s">
        <v>3394</v>
      </c>
    </row>
    <row r="1857" spans="2:13" x14ac:dyDescent="0.25">
      <c r="B1857" t="s">
        <v>3395</v>
      </c>
      <c r="C1857">
        <v>17178294</v>
      </c>
      <c r="D1857" t="str">
        <f>"4627072674241"</f>
        <v>4627072674241</v>
      </c>
      <c r="E1857" t="s">
        <v>3396</v>
      </c>
      <c r="F1857" t="s">
        <v>109</v>
      </c>
      <c r="G1857">
        <v>1</v>
      </c>
      <c r="H1857" t="s">
        <v>15</v>
      </c>
      <c r="I1857" t="s">
        <v>16</v>
      </c>
      <c r="J1857" t="s">
        <v>3172</v>
      </c>
      <c r="L1857" t="s">
        <v>18</v>
      </c>
      <c r="M1857" t="s">
        <v>3397</v>
      </c>
    </row>
    <row r="1858" spans="2:13" x14ac:dyDescent="0.25">
      <c r="B1858" t="s">
        <v>3395</v>
      </c>
      <c r="C1858">
        <v>17179570</v>
      </c>
      <c r="D1858" t="str">
        <f>"4680209008166"</f>
        <v>4680209008166</v>
      </c>
      <c r="E1858" t="s">
        <v>3398</v>
      </c>
      <c r="F1858" t="s">
        <v>31</v>
      </c>
      <c r="G1858">
        <v>1</v>
      </c>
      <c r="H1858" t="s">
        <v>15</v>
      </c>
      <c r="I1858" t="s">
        <v>16</v>
      </c>
      <c r="J1858" t="s">
        <v>3309</v>
      </c>
      <c r="L1858" t="s">
        <v>18</v>
      </c>
      <c r="M1858" t="s">
        <v>3370</v>
      </c>
    </row>
    <row r="1859" spans="2:13" x14ac:dyDescent="0.25">
      <c r="B1859" t="s">
        <v>3395</v>
      </c>
      <c r="C1859">
        <v>18639267</v>
      </c>
      <c r="D1859" t="str">
        <f>"2000186392676"</f>
        <v>2000186392676</v>
      </c>
      <c r="E1859" t="s">
        <v>3399</v>
      </c>
      <c r="F1859" t="s">
        <v>194</v>
      </c>
      <c r="G1859">
        <v>1</v>
      </c>
      <c r="H1859" t="s">
        <v>18</v>
      </c>
      <c r="I1859" t="s">
        <v>51</v>
      </c>
      <c r="J1859" t="s">
        <v>3338</v>
      </c>
      <c r="L1859" t="s">
        <v>18</v>
      </c>
      <c r="M1859" t="s">
        <v>3400</v>
      </c>
    </row>
    <row r="1860" spans="2:13" x14ac:dyDescent="0.25">
      <c r="B1860" t="s">
        <v>3401</v>
      </c>
      <c r="C1860">
        <v>14276243</v>
      </c>
      <c r="D1860" t="str">
        <f>"4640008386957"</f>
        <v>4640008386957</v>
      </c>
      <c r="E1860" t="s">
        <v>3402</v>
      </c>
      <c r="F1860" t="s">
        <v>14</v>
      </c>
      <c r="G1860">
        <v>1</v>
      </c>
      <c r="H1860" t="s">
        <v>15</v>
      </c>
      <c r="I1860" t="s">
        <v>16</v>
      </c>
      <c r="J1860" t="s">
        <v>269</v>
      </c>
      <c r="L1860" t="s">
        <v>18</v>
      </c>
      <c r="M1860" t="s">
        <v>3403</v>
      </c>
    </row>
    <row r="1861" spans="2:13" x14ac:dyDescent="0.25">
      <c r="B1861" t="s">
        <v>3401</v>
      </c>
      <c r="C1861">
        <v>14276286</v>
      </c>
      <c r="D1861" t="str">
        <f>"4640008386964"</f>
        <v>4640008386964</v>
      </c>
      <c r="E1861" t="s">
        <v>3404</v>
      </c>
      <c r="F1861" t="s">
        <v>31</v>
      </c>
      <c r="G1861">
        <v>1</v>
      </c>
      <c r="H1861" t="s">
        <v>15</v>
      </c>
      <c r="I1861" t="s">
        <v>16</v>
      </c>
      <c r="J1861" t="s">
        <v>269</v>
      </c>
      <c r="L1861" t="s">
        <v>18</v>
      </c>
      <c r="M1861" t="s">
        <v>3405</v>
      </c>
    </row>
    <row r="1862" spans="2:13" x14ac:dyDescent="0.25">
      <c r="B1862" t="s">
        <v>3401</v>
      </c>
      <c r="C1862">
        <v>16964007</v>
      </c>
      <c r="D1862" t="str">
        <f>"4665297120242"</f>
        <v>4665297120242</v>
      </c>
      <c r="E1862" t="s">
        <v>3406</v>
      </c>
      <c r="F1862" t="s">
        <v>109</v>
      </c>
      <c r="G1862">
        <v>1</v>
      </c>
      <c r="H1862" t="s">
        <v>15</v>
      </c>
      <c r="I1862" t="s">
        <v>16</v>
      </c>
      <c r="J1862" t="s">
        <v>3192</v>
      </c>
      <c r="L1862" t="s">
        <v>18</v>
      </c>
      <c r="M1862" t="s">
        <v>3407</v>
      </c>
    </row>
    <row r="1863" spans="2:13" x14ac:dyDescent="0.25">
      <c r="B1863" t="s">
        <v>3401</v>
      </c>
      <c r="C1863">
        <v>16964015</v>
      </c>
      <c r="D1863" t="str">
        <f>"4665297120259"</f>
        <v>4665297120259</v>
      </c>
      <c r="E1863" t="s">
        <v>3408</v>
      </c>
      <c r="F1863" t="s">
        <v>165</v>
      </c>
      <c r="G1863">
        <v>1</v>
      </c>
      <c r="H1863" t="s">
        <v>15</v>
      </c>
      <c r="I1863" t="s">
        <v>16</v>
      </c>
      <c r="J1863" t="s">
        <v>3192</v>
      </c>
      <c r="L1863" t="s">
        <v>18</v>
      </c>
      <c r="M1863" t="s">
        <v>3409</v>
      </c>
    </row>
    <row r="1864" spans="2:13" x14ac:dyDescent="0.25">
      <c r="B1864" t="s">
        <v>3401</v>
      </c>
      <c r="C1864">
        <v>16964058</v>
      </c>
      <c r="D1864" t="str">
        <f>"4665297120303"</f>
        <v>4665297120303</v>
      </c>
      <c r="E1864" t="s">
        <v>3410</v>
      </c>
      <c r="F1864" t="s">
        <v>109</v>
      </c>
      <c r="G1864">
        <v>1</v>
      </c>
      <c r="H1864" t="s">
        <v>15</v>
      </c>
      <c r="I1864" t="s">
        <v>16</v>
      </c>
      <c r="J1864" t="s">
        <v>3192</v>
      </c>
      <c r="L1864" t="s">
        <v>18</v>
      </c>
      <c r="M1864" t="s">
        <v>3407</v>
      </c>
    </row>
    <row r="1865" spans="2:13" x14ac:dyDescent="0.25">
      <c r="B1865" t="s">
        <v>3401</v>
      </c>
      <c r="C1865">
        <v>16964066</v>
      </c>
      <c r="D1865" t="str">
        <f>"4665297120310"</f>
        <v>4665297120310</v>
      </c>
      <c r="E1865" t="s">
        <v>3411</v>
      </c>
      <c r="F1865" t="s">
        <v>21</v>
      </c>
      <c r="G1865">
        <v>1</v>
      </c>
      <c r="H1865" t="s">
        <v>15</v>
      </c>
      <c r="I1865" t="s">
        <v>16</v>
      </c>
      <c r="J1865" t="s">
        <v>3192</v>
      </c>
      <c r="L1865" t="s">
        <v>18</v>
      </c>
      <c r="M1865" t="s">
        <v>3412</v>
      </c>
    </row>
    <row r="1866" spans="2:13" x14ac:dyDescent="0.25">
      <c r="B1866" t="s">
        <v>3401</v>
      </c>
      <c r="C1866">
        <v>16964103</v>
      </c>
      <c r="D1866" t="str">
        <f>"4665297120365"</f>
        <v>4665297120365</v>
      </c>
      <c r="E1866" t="s">
        <v>3413</v>
      </c>
      <c r="F1866" t="s">
        <v>366</v>
      </c>
      <c r="G1866">
        <v>1</v>
      </c>
      <c r="H1866" t="s">
        <v>15</v>
      </c>
      <c r="I1866" t="s">
        <v>16</v>
      </c>
      <c r="J1866" t="s">
        <v>3192</v>
      </c>
      <c r="L1866" t="s">
        <v>18</v>
      </c>
      <c r="M1866" t="s">
        <v>3414</v>
      </c>
    </row>
    <row r="1867" spans="2:13" x14ac:dyDescent="0.25">
      <c r="B1867" t="s">
        <v>3401</v>
      </c>
      <c r="C1867">
        <v>16964111</v>
      </c>
      <c r="D1867" t="str">
        <f>"4665297120372"</f>
        <v>4665297120372</v>
      </c>
      <c r="E1867" t="s">
        <v>3415</v>
      </c>
      <c r="F1867" t="s">
        <v>285</v>
      </c>
      <c r="G1867">
        <v>1</v>
      </c>
      <c r="H1867" t="s">
        <v>15</v>
      </c>
      <c r="I1867" t="s">
        <v>16</v>
      </c>
      <c r="J1867" t="s">
        <v>3192</v>
      </c>
      <c r="L1867" t="s">
        <v>18</v>
      </c>
      <c r="M1867" t="s">
        <v>3416</v>
      </c>
    </row>
    <row r="1868" spans="2:13" x14ac:dyDescent="0.25">
      <c r="B1868" t="s">
        <v>3401</v>
      </c>
      <c r="C1868">
        <v>17071315</v>
      </c>
      <c r="D1868" t="str">
        <f>"4640027140080"</f>
        <v>4640027140080</v>
      </c>
      <c r="E1868" t="s">
        <v>3417</v>
      </c>
      <c r="F1868" t="s">
        <v>40</v>
      </c>
      <c r="G1868">
        <v>1</v>
      </c>
      <c r="H1868" t="s">
        <v>15</v>
      </c>
      <c r="I1868" t="s">
        <v>16</v>
      </c>
      <c r="J1868" t="s">
        <v>3284</v>
      </c>
      <c r="L1868" t="s">
        <v>18</v>
      </c>
      <c r="M1868" t="s">
        <v>3418</v>
      </c>
    </row>
    <row r="1869" spans="2:13" x14ac:dyDescent="0.25">
      <c r="B1869" t="s">
        <v>3401</v>
      </c>
      <c r="C1869">
        <v>17071340</v>
      </c>
      <c r="D1869" t="str">
        <f>"4640027140103"</f>
        <v>4640027140103</v>
      </c>
      <c r="E1869" t="s">
        <v>3419</v>
      </c>
      <c r="F1869" t="s">
        <v>413</v>
      </c>
      <c r="G1869">
        <v>1</v>
      </c>
      <c r="H1869" t="s">
        <v>18</v>
      </c>
      <c r="I1869" t="s">
        <v>16</v>
      </c>
      <c r="J1869" t="s">
        <v>3284</v>
      </c>
      <c r="L1869" t="s">
        <v>18</v>
      </c>
      <c r="M1869" t="s">
        <v>3420</v>
      </c>
    </row>
    <row r="1870" spans="2:13" x14ac:dyDescent="0.25">
      <c r="B1870" t="s">
        <v>3401</v>
      </c>
      <c r="C1870">
        <v>17071374</v>
      </c>
      <c r="D1870" t="str">
        <f>"4640027140097"</f>
        <v>4640027140097</v>
      </c>
      <c r="E1870" t="s">
        <v>3421</v>
      </c>
      <c r="F1870" t="s">
        <v>48</v>
      </c>
      <c r="G1870">
        <v>1</v>
      </c>
      <c r="H1870" t="s">
        <v>18</v>
      </c>
      <c r="I1870" t="s">
        <v>16</v>
      </c>
      <c r="J1870" t="s">
        <v>3284</v>
      </c>
      <c r="L1870" t="s">
        <v>18</v>
      </c>
      <c r="M1870" t="s">
        <v>3422</v>
      </c>
    </row>
    <row r="1871" spans="2:13" x14ac:dyDescent="0.25">
      <c r="B1871" t="s">
        <v>3401</v>
      </c>
      <c r="C1871">
        <v>17071438</v>
      </c>
      <c r="D1871" t="str">
        <f>"4640027140127"</f>
        <v>4640027140127</v>
      </c>
      <c r="E1871" t="s">
        <v>3423</v>
      </c>
      <c r="F1871" t="s">
        <v>109</v>
      </c>
      <c r="G1871">
        <v>1</v>
      </c>
      <c r="H1871" t="s">
        <v>18</v>
      </c>
      <c r="I1871" t="s">
        <v>16</v>
      </c>
      <c r="J1871" t="s">
        <v>3284</v>
      </c>
      <c r="L1871" t="s">
        <v>18</v>
      </c>
      <c r="M1871" t="s">
        <v>3424</v>
      </c>
    </row>
    <row r="1872" spans="2:13" x14ac:dyDescent="0.25">
      <c r="B1872" t="s">
        <v>3401</v>
      </c>
      <c r="C1872">
        <v>17071497</v>
      </c>
      <c r="D1872" t="str">
        <f>"4640027140141"</f>
        <v>4640027140141</v>
      </c>
      <c r="E1872" t="s">
        <v>3425</v>
      </c>
      <c r="F1872" t="s">
        <v>194</v>
      </c>
      <c r="G1872">
        <v>2</v>
      </c>
      <c r="H1872" t="s">
        <v>18</v>
      </c>
      <c r="I1872" t="s">
        <v>51</v>
      </c>
      <c r="J1872" t="s">
        <v>3426</v>
      </c>
      <c r="L1872" t="s">
        <v>18</v>
      </c>
      <c r="M1872" t="s">
        <v>3427</v>
      </c>
    </row>
    <row r="1873" spans="2:13" x14ac:dyDescent="0.25">
      <c r="B1873" t="s">
        <v>3401</v>
      </c>
      <c r="C1873">
        <v>17091383</v>
      </c>
      <c r="D1873" t="str">
        <f>"4620017600138"</f>
        <v>4620017600138</v>
      </c>
      <c r="E1873" t="s">
        <v>3428</v>
      </c>
      <c r="F1873" t="s">
        <v>24</v>
      </c>
      <c r="G1873">
        <v>0</v>
      </c>
      <c r="H1873" t="s">
        <v>15</v>
      </c>
      <c r="I1873" t="s">
        <v>16</v>
      </c>
      <c r="J1873" t="s">
        <v>3429</v>
      </c>
      <c r="L1873" t="s">
        <v>18</v>
      </c>
      <c r="M1873" t="s">
        <v>3430</v>
      </c>
    </row>
    <row r="1874" spans="2:13" x14ac:dyDescent="0.25">
      <c r="B1874" t="s">
        <v>3401</v>
      </c>
      <c r="C1874">
        <v>17114346</v>
      </c>
      <c r="D1874" t="str">
        <f>"4813036008478"</f>
        <v>4813036008478</v>
      </c>
      <c r="E1874" t="s">
        <v>3431</v>
      </c>
      <c r="F1874" t="s">
        <v>861</v>
      </c>
      <c r="G1874">
        <v>1</v>
      </c>
      <c r="H1874" t="s">
        <v>18</v>
      </c>
      <c r="I1874" t="s">
        <v>16</v>
      </c>
      <c r="J1874" t="s">
        <v>3181</v>
      </c>
      <c r="L1874" t="s">
        <v>18</v>
      </c>
      <c r="M1874" t="s">
        <v>3432</v>
      </c>
    </row>
    <row r="1875" spans="2:13" x14ac:dyDescent="0.25">
      <c r="B1875" t="s">
        <v>3401</v>
      </c>
      <c r="C1875">
        <v>17118398</v>
      </c>
      <c r="D1875" t="str">
        <f>"4610013365780"</f>
        <v>4610013365780</v>
      </c>
      <c r="E1875" t="s">
        <v>3433</v>
      </c>
      <c r="F1875" t="s">
        <v>285</v>
      </c>
      <c r="G1875">
        <v>1</v>
      </c>
      <c r="H1875" t="s">
        <v>15</v>
      </c>
      <c r="I1875" t="s">
        <v>16</v>
      </c>
      <c r="J1875" t="s">
        <v>3303</v>
      </c>
      <c r="L1875" t="s">
        <v>18</v>
      </c>
      <c r="M1875" t="s">
        <v>1462</v>
      </c>
    </row>
    <row r="1876" spans="2:13" x14ac:dyDescent="0.25">
      <c r="B1876" t="s">
        <v>3401</v>
      </c>
      <c r="C1876">
        <v>17118435</v>
      </c>
      <c r="D1876" t="str">
        <f>"4610013365773"</f>
        <v>4610013365773</v>
      </c>
      <c r="E1876" t="s">
        <v>3434</v>
      </c>
      <c r="F1876" t="s">
        <v>40</v>
      </c>
      <c r="G1876">
        <v>1</v>
      </c>
      <c r="H1876" t="s">
        <v>15</v>
      </c>
      <c r="I1876" t="s">
        <v>16</v>
      </c>
      <c r="J1876" t="s">
        <v>3303</v>
      </c>
      <c r="L1876" t="s">
        <v>18</v>
      </c>
      <c r="M1876" t="s">
        <v>558</v>
      </c>
    </row>
    <row r="1877" spans="2:13" x14ac:dyDescent="0.25">
      <c r="B1877" t="s">
        <v>3401</v>
      </c>
      <c r="C1877">
        <v>17118451</v>
      </c>
      <c r="D1877" t="str">
        <f>"4610013365933"</f>
        <v>4610013365933</v>
      </c>
      <c r="E1877" t="s">
        <v>3435</v>
      </c>
      <c r="F1877" t="s">
        <v>34</v>
      </c>
      <c r="G1877">
        <v>1</v>
      </c>
      <c r="H1877" t="s">
        <v>15</v>
      </c>
      <c r="I1877" t="s">
        <v>16</v>
      </c>
      <c r="J1877" t="s">
        <v>3303</v>
      </c>
      <c r="L1877" t="s">
        <v>18</v>
      </c>
      <c r="M1877" t="s">
        <v>3436</v>
      </c>
    </row>
    <row r="1878" spans="2:13" x14ac:dyDescent="0.25">
      <c r="B1878" t="s">
        <v>3401</v>
      </c>
      <c r="C1878">
        <v>17179449</v>
      </c>
      <c r="D1878" t="str">
        <f>"4680209008029"</f>
        <v>4680209008029</v>
      </c>
      <c r="E1878" t="s">
        <v>3437</v>
      </c>
      <c r="F1878" t="s">
        <v>40</v>
      </c>
      <c r="G1878">
        <v>1</v>
      </c>
      <c r="H1878" t="s">
        <v>15</v>
      </c>
      <c r="I1878" t="s">
        <v>16</v>
      </c>
      <c r="J1878" t="s">
        <v>3309</v>
      </c>
      <c r="L1878" t="s">
        <v>18</v>
      </c>
      <c r="M1878" t="s">
        <v>3438</v>
      </c>
    </row>
    <row r="1879" spans="2:13" x14ac:dyDescent="0.25">
      <c r="B1879" t="s">
        <v>3401</v>
      </c>
      <c r="C1879">
        <v>17179490</v>
      </c>
      <c r="D1879" t="str">
        <f>"4680209008067"</f>
        <v>4680209008067</v>
      </c>
      <c r="E1879" t="s">
        <v>3439</v>
      </c>
      <c r="F1879" t="s">
        <v>24</v>
      </c>
      <c r="G1879">
        <v>1</v>
      </c>
      <c r="H1879" t="s">
        <v>15</v>
      </c>
      <c r="I1879" t="s">
        <v>16</v>
      </c>
      <c r="J1879" t="s">
        <v>3309</v>
      </c>
      <c r="L1879" t="s">
        <v>18</v>
      </c>
      <c r="M1879" t="s">
        <v>3440</v>
      </c>
    </row>
    <row r="1880" spans="2:13" x14ac:dyDescent="0.25">
      <c r="B1880" t="s">
        <v>3401</v>
      </c>
      <c r="C1880">
        <v>17806684</v>
      </c>
      <c r="D1880" t="str">
        <f>"4640008391791"</f>
        <v>4640008391791</v>
      </c>
      <c r="E1880" t="s">
        <v>3441</v>
      </c>
      <c r="F1880" t="s">
        <v>43</v>
      </c>
      <c r="G1880">
        <v>1</v>
      </c>
      <c r="H1880" t="s">
        <v>15</v>
      </c>
      <c r="I1880" t="s">
        <v>16</v>
      </c>
      <c r="J1880" t="s">
        <v>269</v>
      </c>
      <c r="L1880" t="s">
        <v>18</v>
      </c>
      <c r="M1880" t="s">
        <v>3442</v>
      </c>
    </row>
    <row r="1881" spans="2:13" x14ac:dyDescent="0.25">
      <c r="B1881" t="s">
        <v>3401</v>
      </c>
      <c r="C1881">
        <v>17806692</v>
      </c>
      <c r="D1881" t="str">
        <f>"4640008391821"</f>
        <v>4640008391821</v>
      </c>
      <c r="E1881" t="s">
        <v>3443</v>
      </c>
      <c r="F1881" t="s">
        <v>109</v>
      </c>
      <c r="G1881">
        <v>1</v>
      </c>
      <c r="H1881" t="s">
        <v>15</v>
      </c>
      <c r="I1881" t="s">
        <v>16</v>
      </c>
      <c r="J1881" t="s">
        <v>269</v>
      </c>
      <c r="L1881" t="s">
        <v>18</v>
      </c>
      <c r="M1881" t="s">
        <v>3444</v>
      </c>
    </row>
    <row r="1882" spans="2:13" x14ac:dyDescent="0.25">
      <c r="B1882" t="s">
        <v>3401</v>
      </c>
      <c r="C1882">
        <v>17806705</v>
      </c>
      <c r="D1882" t="str">
        <f>"4640008392033"</f>
        <v>4640008392033</v>
      </c>
      <c r="E1882" t="s">
        <v>3445</v>
      </c>
      <c r="F1882" t="s">
        <v>43</v>
      </c>
      <c r="G1882">
        <v>1</v>
      </c>
      <c r="H1882" t="s">
        <v>15</v>
      </c>
      <c r="I1882" t="s">
        <v>16</v>
      </c>
      <c r="J1882" t="s">
        <v>269</v>
      </c>
      <c r="L1882" t="s">
        <v>18</v>
      </c>
      <c r="M1882" t="s">
        <v>3442</v>
      </c>
    </row>
    <row r="1883" spans="2:13" x14ac:dyDescent="0.25">
      <c r="B1883" t="s">
        <v>3401</v>
      </c>
      <c r="C1883">
        <v>17806713</v>
      </c>
      <c r="D1883" t="str">
        <f>"4640008391838"</f>
        <v>4640008391838</v>
      </c>
      <c r="E1883" t="s">
        <v>3446</v>
      </c>
      <c r="F1883" t="s">
        <v>43</v>
      </c>
      <c r="G1883">
        <v>1</v>
      </c>
      <c r="H1883" t="s">
        <v>15</v>
      </c>
      <c r="I1883" t="s">
        <v>16</v>
      </c>
      <c r="J1883" t="s">
        <v>269</v>
      </c>
      <c r="L1883" t="s">
        <v>18</v>
      </c>
      <c r="M1883" t="s">
        <v>3444</v>
      </c>
    </row>
    <row r="1884" spans="2:13" x14ac:dyDescent="0.25">
      <c r="B1884" t="s">
        <v>3401</v>
      </c>
      <c r="C1884">
        <v>18639283</v>
      </c>
      <c r="D1884" t="str">
        <f>"4627125410550"</f>
        <v>4627125410550</v>
      </c>
      <c r="E1884" t="s">
        <v>3447</v>
      </c>
      <c r="F1884" t="s">
        <v>194</v>
      </c>
      <c r="G1884">
        <v>1</v>
      </c>
      <c r="H1884" t="s">
        <v>18</v>
      </c>
      <c r="I1884" t="s">
        <v>51</v>
      </c>
      <c r="J1884" t="s">
        <v>3338</v>
      </c>
      <c r="L1884" t="s">
        <v>18</v>
      </c>
      <c r="M1884" t="s">
        <v>3448</v>
      </c>
    </row>
    <row r="1885" spans="2:13" x14ac:dyDescent="0.25">
      <c r="B1885" t="s">
        <v>3449</v>
      </c>
      <c r="C1885">
        <v>14276307</v>
      </c>
      <c r="D1885" t="str">
        <f>"4640008386971"</f>
        <v>4640008386971</v>
      </c>
      <c r="E1885" t="s">
        <v>3450</v>
      </c>
      <c r="F1885" t="s">
        <v>21</v>
      </c>
      <c r="G1885">
        <v>1</v>
      </c>
      <c r="H1885" t="s">
        <v>15</v>
      </c>
      <c r="I1885" t="s">
        <v>16</v>
      </c>
      <c r="J1885" t="s">
        <v>269</v>
      </c>
      <c r="L1885" t="s">
        <v>18</v>
      </c>
      <c r="M1885" t="s">
        <v>3451</v>
      </c>
    </row>
    <row r="1886" spans="2:13" x14ac:dyDescent="0.25">
      <c r="B1886" t="s">
        <v>3449</v>
      </c>
      <c r="C1886">
        <v>16964040</v>
      </c>
      <c r="D1886" t="str">
        <f>"4665297120297"</f>
        <v>4665297120297</v>
      </c>
      <c r="E1886" t="s">
        <v>3452</v>
      </c>
      <c r="F1886" t="s">
        <v>268</v>
      </c>
      <c r="G1886">
        <v>1</v>
      </c>
      <c r="H1886" t="s">
        <v>15</v>
      </c>
      <c r="I1886" t="s">
        <v>16</v>
      </c>
      <c r="J1886" t="s">
        <v>3192</v>
      </c>
      <c r="L1886" t="s">
        <v>18</v>
      </c>
      <c r="M1886" t="s">
        <v>3453</v>
      </c>
    </row>
    <row r="1887" spans="2:13" x14ac:dyDescent="0.25">
      <c r="B1887" t="s">
        <v>3449</v>
      </c>
      <c r="C1887">
        <v>16964091</v>
      </c>
      <c r="D1887" t="str">
        <f>"4665297120358"</f>
        <v>4665297120358</v>
      </c>
      <c r="E1887" t="s">
        <v>3454</v>
      </c>
      <c r="F1887" t="s">
        <v>48</v>
      </c>
      <c r="G1887">
        <v>1</v>
      </c>
      <c r="H1887" t="s">
        <v>15</v>
      </c>
      <c r="I1887" t="s">
        <v>51</v>
      </c>
      <c r="J1887" t="s">
        <v>3192</v>
      </c>
      <c r="L1887" t="s">
        <v>18</v>
      </c>
      <c r="M1887" t="s">
        <v>3453</v>
      </c>
    </row>
    <row r="1888" spans="2:13" x14ac:dyDescent="0.25">
      <c r="B1888" t="s">
        <v>3449</v>
      </c>
      <c r="C1888">
        <v>17071500</v>
      </c>
      <c r="D1888" t="str">
        <f>"4640027140158"</f>
        <v>4640027140158</v>
      </c>
      <c r="E1888" t="s">
        <v>3455</v>
      </c>
      <c r="F1888" t="s">
        <v>21</v>
      </c>
      <c r="G1888">
        <v>1</v>
      </c>
      <c r="H1888" t="s">
        <v>15</v>
      </c>
      <c r="I1888" t="s">
        <v>16</v>
      </c>
      <c r="J1888" t="s">
        <v>3284</v>
      </c>
      <c r="L1888" t="s">
        <v>18</v>
      </c>
      <c r="M1888" t="s">
        <v>3456</v>
      </c>
    </row>
    <row r="1889" spans="2:13" x14ac:dyDescent="0.25">
      <c r="B1889" t="s">
        <v>3449</v>
      </c>
      <c r="C1889">
        <v>17071518</v>
      </c>
      <c r="D1889" t="str">
        <f>"4640027140165"</f>
        <v>4640027140165</v>
      </c>
      <c r="E1889" t="s">
        <v>3457</v>
      </c>
      <c r="F1889" t="s">
        <v>34</v>
      </c>
      <c r="G1889">
        <v>1</v>
      </c>
      <c r="H1889" t="s">
        <v>15</v>
      </c>
      <c r="I1889" t="s">
        <v>16</v>
      </c>
      <c r="J1889" t="s">
        <v>3284</v>
      </c>
      <c r="L1889" t="s">
        <v>18</v>
      </c>
      <c r="M1889" t="s">
        <v>3458</v>
      </c>
    </row>
    <row r="1890" spans="2:13" x14ac:dyDescent="0.25">
      <c r="B1890" t="s">
        <v>3449</v>
      </c>
      <c r="C1890">
        <v>17071526</v>
      </c>
      <c r="D1890" t="str">
        <f>"4640027140172"</f>
        <v>4640027140172</v>
      </c>
      <c r="E1890" t="s">
        <v>3459</v>
      </c>
      <c r="F1890" t="s">
        <v>194</v>
      </c>
      <c r="G1890">
        <v>2</v>
      </c>
      <c r="H1890" t="s">
        <v>18</v>
      </c>
      <c r="I1890" t="s">
        <v>51</v>
      </c>
      <c r="J1890" t="s">
        <v>3426</v>
      </c>
      <c r="L1890" t="s">
        <v>18</v>
      </c>
      <c r="M1890" t="s">
        <v>3460</v>
      </c>
    </row>
    <row r="1891" spans="2:13" x14ac:dyDescent="0.25">
      <c r="B1891" t="s">
        <v>3449</v>
      </c>
      <c r="C1891">
        <v>17091412</v>
      </c>
      <c r="D1891" t="str">
        <f>"4620017600190"</f>
        <v>4620017600190</v>
      </c>
      <c r="E1891" t="s">
        <v>3461</v>
      </c>
      <c r="F1891" t="s">
        <v>24</v>
      </c>
      <c r="G1891">
        <v>0</v>
      </c>
      <c r="H1891" t="s">
        <v>15</v>
      </c>
      <c r="I1891" t="s">
        <v>16</v>
      </c>
      <c r="J1891" t="s">
        <v>3429</v>
      </c>
      <c r="L1891" t="s">
        <v>18</v>
      </c>
      <c r="M1891" t="s">
        <v>3462</v>
      </c>
    </row>
    <row r="1892" spans="2:13" x14ac:dyDescent="0.25">
      <c r="B1892" t="s">
        <v>3449</v>
      </c>
      <c r="C1892">
        <v>17118401</v>
      </c>
      <c r="D1892" t="str">
        <f>"4610013365827"</f>
        <v>4610013365827</v>
      </c>
      <c r="E1892" t="s">
        <v>3463</v>
      </c>
      <c r="F1892" t="s">
        <v>31</v>
      </c>
      <c r="G1892">
        <v>1</v>
      </c>
      <c r="H1892" t="s">
        <v>15</v>
      </c>
      <c r="I1892" t="s">
        <v>16</v>
      </c>
      <c r="J1892" t="s">
        <v>3303</v>
      </c>
      <c r="L1892" t="s">
        <v>18</v>
      </c>
      <c r="M1892" t="s">
        <v>3370</v>
      </c>
    </row>
    <row r="1893" spans="2:13" x14ac:dyDescent="0.25">
      <c r="B1893" t="s">
        <v>3449</v>
      </c>
      <c r="C1893">
        <v>17179326</v>
      </c>
      <c r="D1893" t="str">
        <f>"4680209007916"</f>
        <v>4680209007916</v>
      </c>
      <c r="E1893" t="s">
        <v>3464</v>
      </c>
      <c r="F1893" t="s">
        <v>14</v>
      </c>
      <c r="G1893">
        <v>1</v>
      </c>
      <c r="H1893" t="s">
        <v>15</v>
      </c>
      <c r="I1893" t="s">
        <v>16</v>
      </c>
      <c r="J1893" t="s">
        <v>3309</v>
      </c>
      <c r="L1893" t="s">
        <v>18</v>
      </c>
      <c r="M1893" t="s">
        <v>3465</v>
      </c>
    </row>
    <row r="1894" spans="2:13" x14ac:dyDescent="0.25">
      <c r="B1894" t="s">
        <v>3449</v>
      </c>
      <c r="C1894">
        <v>17179502</v>
      </c>
      <c r="D1894" t="str">
        <f>"4680209008074"</f>
        <v>4680209008074</v>
      </c>
      <c r="E1894" t="s">
        <v>3466</v>
      </c>
      <c r="F1894" t="s">
        <v>48</v>
      </c>
      <c r="G1894">
        <v>1</v>
      </c>
      <c r="H1894" t="s">
        <v>15</v>
      </c>
      <c r="I1894" t="s">
        <v>16</v>
      </c>
      <c r="J1894" t="s">
        <v>3309</v>
      </c>
      <c r="L1894" t="s">
        <v>18</v>
      </c>
      <c r="M1894" t="s">
        <v>3467</v>
      </c>
    </row>
    <row r="1895" spans="2:13" x14ac:dyDescent="0.25">
      <c r="B1895" t="s">
        <v>3449</v>
      </c>
      <c r="C1895">
        <v>17179511</v>
      </c>
      <c r="D1895" t="str">
        <f>"4680209008081"</f>
        <v>4680209008081</v>
      </c>
      <c r="E1895" t="s">
        <v>3468</v>
      </c>
      <c r="F1895" t="s">
        <v>48</v>
      </c>
      <c r="G1895">
        <v>1</v>
      </c>
      <c r="H1895" t="s">
        <v>15</v>
      </c>
      <c r="I1895" t="s">
        <v>51</v>
      </c>
      <c r="J1895" t="s">
        <v>3309</v>
      </c>
      <c r="L1895" t="s">
        <v>18</v>
      </c>
      <c r="M1895" t="s">
        <v>3467</v>
      </c>
    </row>
    <row r="1896" spans="2:13" x14ac:dyDescent="0.25">
      <c r="B1896" t="s">
        <v>3449</v>
      </c>
      <c r="C1896">
        <v>17806721</v>
      </c>
      <c r="D1896" t="str">
        <f>"4640008391777"</f>
        <v>4640008391777</v>
      </c>
      <c r="E1896" t="s">
        <v>3469</v>
      </c>
      <c r="F1896" t="s">
        <v>21</v>
      </c>
      <c r="G1896">
        <v>1</v>
      </c>
      <c r="H1896" t="s">
        <v>15</v>
      </c>
      <c r="I1896" t="s">
        <v>16</v>
      </c>
      <c r="J1896" t="s">
        <v>269</v>
      </c>
      <c r="L1896" t="s">
        <v>18</v>
      </c>
      <c r="M1896" t="s">
        <v>3470</v>
      </c>
    </row>
    <row r="1897" spans="2:13" x14ac:dyDescent="0.25">
      <c r="B1897" t="s">
        <v>3449</v>
      </c>
      <c r="C1897">
        <v>17806730</v>
      </c>
      <c r="D1897" t="str">
        <f>"4640008395577"</f>
        <v>4640008395577</v>
      </c>
      <c r="E1897" t="s">
        <v>3471</v>
      </c>
      <c r="F1897" t="s">
        <v>27</v>
      </c>
      <c r="G1897">
        <v>1</v>
      </c>
      <c r="H1897" t="s">
        <v>15</v>
      </c>
      <c r="I1897" t="s">
        <v>51</v>
      </c>
      <c r="J1897" t="s">
        <v>269</v>
      </c>
      <c r="L1897" t="s">
        <v>18</v>
      </c>
      <c r="M1897" t="s">
        <v>3470</v>
      </c>
    </row>
    <row r="1898" spans="2:13" x14ac:dyDescent="0.25">
      <c r="B1898" t="s">
        <v>3449</v>
      </c>
      <c r="C1898">
        <v>18639275</v>
      </c>
      <c r="D1898" t="str">
        <f>"2000186392751"</f>
        <v>2000186392751</v>
      </c>
      <c r="E1898" t="s">
        <v>3472</v>
      </c>
      <c r="F1898" t="s">
        <v>194</v>
      </c>
      <c r="G1898">
        <v>1</v>
      </c>
      <c r="H1898" t="s">
        <v>18</v>
      </c>
      <c r="I1898" t="s">
        <v>51</v>
      </c>
      <c r="J1898" t="s">
        <v>3338</v>
      </c>
      <c r="L1898" t="s">
        <v>18</v>
      </c>
      <c r="M1898" t="s">
        <v>3473</v>
      </c>
    </row>
    <row r="1899" spans="2:13" x14ac:dyDescent="0.25">
      <c r="B1899" t="s">
        <v>3449</v>
      </c>
      <c r="C1899">
        <v>18639312</v>
      </c>
      <c r="D1899" t="str">
        <f>"4627125410567"</f>
        <v>4627125410567</v>
      </c>
      <c r="E1899" t="s">
        <v>3474</v>
      </c>
      <c r="F1899" t="s">
        <v>194</v>
      </c>
      <c r="G1899">
        <v>1</v>
      </c>
      <c r="H1899" t="s">
        <v>18</v>
      </c>
      <c r="I1899" t="s">
        <v>51</v>
      </c>
      <c r="J1899" t="s">
        <v>3338</v>
      </c>
      <c r="L1899" t="s">
        <v>18</v>
      </c>
      <c r="M1899" t="s">
        <v>3475</v>
      </c>
    </row>
    <row r="1900" spans="2:13" x14ac:dyDescent="0.25">
      <c r="B1900" t="s">
        <v>3476</v>
      </c>
      <c r="C1900">
        <v>18640399</v>
      </c>
      <c r="D1900" t="str">
        <f>"4680209010558"</f>
        <v>4680209010558</v>
      </c>
      <c r="E1900" t="s">
        <v>3477</v>
      </c>
      <c r="F1900" t="s">
        <v>194</v>
      </c>
      <c r="G1900">
        <v>1</v>
      </c>
      <c r="H1900" t="s">
        <v>18</v>
      </c>
      <c r="I1900" t="s">
        <v>51</v>
      </c>
      <c r="J1900" t="s">
        <v>3309</v>
      </c>
      <c r="L1900" t="s">
        <v>18</v>
      </c>
      <c r="M1900" t="s">
        <v>3478</v>
      </c>
    </row>
    <row r="1901" spans="2:13" x14ac:dyDescent="0.25">
      <c r="B1901" t="s">
        <v>3479</v>
      </c>
      <c r="C1901">
        <v>17179342</v>
      </c>
      <c r="D1901" t="str">
        <f>"4680209007923"</f>
        <v>4680209007923</v>
      </c>
      <c r="E1901" t="s">
        <v>3480</v>
      </c>
      <c r="F1901" t="s">
        <v>285</v>
      </c>
      <c r="G1901">
        <v>1</v>
      </c>
      <c r="H1901" t="s">
        <v>18</v>
      </c>
      <c r="I1901" t="s">
        <v>16</v>
      </c>
      <c r="J1901" t="s">
        <v>3309</v>
      </c>
      <c r="L1901" t="s">
        <v>18</v>
      </c>
      <c r="M1901" t="s">
        <v>3481</v>
      </c>
    </row>
    <row r="1902" spans="2:13" x14ac:dyDescent="0.25">
      <c r="B1902" t="s">
        <v>3482</v>
      </c>
      <c r="C1902">
        <v>17179334</v>
      </c>
      <c r="D1902" t="str">
        <f>"4680209007930"</f>
        <v>4680209007930</v>
      </c>
      <c r="E1902" t="s">
        <v>3483</v>
      </c>
      <c r="F1902" t="s">
        <v>31</v>
      </c>
      <c r="G1902">
        <v>1</v>
      </c>
      <c r="H1902" t="s">
        <v>18</v>
      </c>
      <c r="I1902" t="s">
        <v>16</v>
      </c>
      <c r="J1902" t="s">
        <v>3309</v>
      </c>
      <c r="L1902" t="s">
        <v>18</v>
      </c>
      <c r="M1902" t="s">
        <v>3484</v>
      </c>
    </row>
    <row r="1903" spans="2:13" x14ac:dyDescent="0.25">
      <c r="B1903" t="s">
        <v>3485</v>
      </c>
      <c r="C1903">
        <v>12062428</v>
      </c>
      <c r="D1903" t="str">
        <f>"4607124456315"</f>
        <v>4607124456315</v>
      </c>
      <c r="E1903" t="s">
        <v>3486</v>
      </c>
      <c r="F1903" t="s">
        <v>366</v>
      </c>
      <c r="G1903">
        <v>1</v>
      </c>
      <c r="H1903" t="s">
        <v>18</v>
      </c>
      <c r="I1903" t="s">
        <v>16</v>
      </c>
      <c r="J1903" t="s">
        <v>3487</v>
      </c>
      <c r="L1903" t="s">
        <v>18</v>
      </c>
      <c r="M1903" t="s">
        <v>3488</v>
      </c>
    </row>
    <row r="1904" spans="2:13" x14ac:dyDescent="0.25">
      <c r="B1904" t="s">
        <v>3485</v>
      </c>
      <c r="C1904">
        <v>12062436</v>
      </c>
      <c r="D1904" t="str">
        <f>"4607124456308"</f>
        <v>4607124456308</v>
      </c>
      <c r="E1904" t="s">
        <v>3489</v>
      </c>
      <c r="F1904" t="s">
        <v>40</v>
      </c>
      <c r="G1904">
        <v>1</v>
      </c>
      <c r="H1904" t="s">
        <v>18</v>
      </c>
      <c r="I1904" t="s">
        <v>16</v>
      </c>
      <c r="J1904" t="s">
        <v>3487</v>
      </c>
      <c r="L1904" t="s">
        <v>18</v>
      </c>
      <c r="M1904" t="s">
        <v>809</v>
      </c>
    </row>
    <row r="1905" spans="2:13" x14ac:dyDescent="0.25">
      <c r="B1905" t="s">
        <v>3485</v>
      </c>
      <c r="C1905">
        <v>13086106</v>
      </c>
      <c r="D1905" t="str">
        <f>"4610004610394"</f>
        <v>4610004610394</v>
      </c>
      <c r="E1905" t="s">
        <v>3490</v>
      </c>
      <c r="F1905" t="s">
        <v>379</v>
      </c>
      <c r="G1905">
        <v>1</v>
      </c>
      <c r="H1905" t="s">
        <v>18</v>
      </c>
      <c r="I1905" t="s">
        <v>16</v>
      </c>
      <c r="J1905" t="s">
        <v>3487</v>
      </c>
      <c r="L1905" t="s">
        <v>18</v>
      </c>
      <c r="M1905" t="s">
        <v>1731</v>
      </c>
    </row>
    <row r="1906" spans="2:13" x14ac:dyDescent="0.25">
      <c r="B1906" t="s">
        <v>3485</v>
      </c>
      <c r="C1906">
        <v>13086114</v>
      </c>
      <c r="D1906" t="str">
        <f>"4610004610400"</f>
        <v>4610004610400</v>
      </c>
      <c r="E1906" t="s">
        <v>3491</v>
      </c>
      <c r="F1906" t="s">
        <v>242</v>
      </c>
      <c r="G1906">
        <v>1</v>
      </c>
      <c r="H1906" t="s">
        <v>18</v>
      </c>
      <c r="I1906" t="s">
        <v>16</v>
      </c>
      <c r="J1906" t="s">
        <v>3487</v>
      </c>
      <c r="L1906" t="s">
        <v>18</v>
      </c>
      <c r="M1906" t="s">
        <v>2002</v>
      </c>
    </row>
    <row r="1907" spans="2:13" x14ac:dyDescent="0.25">
      <c r="B1907" t="s">
        <v>3485</v>
      </c>
      <c r="C1907">
        <v>13086253</v>
      </c>
      <c r="D1907" t="str">
        <f>"4610004610417"</f>
        <v>4610004610417</v>
      </c>
      <c r="E1907" t="s">
        <v>3492</v>
      </c>
      <c r="F1907" t="s">
        <v>3493</v>
      </c>
      <c r="G1907">
        <v>1</v>
      </c>
      <c r="H1907" t="s">
        <v>18</v>
      </c>
      <c r="I1907" t="s">
        <v>16</v>
      </c>
      <c r="J1907" t="s">
        <v>3487</v>
      </c>
      <c r="L1907" t="s">
        <v>18</v>
      </c>
      <c r="M1907" t="s">
        <v>840</v>
      </c>
    </row>
    <row r="1908" spans="2:13" x14ac:dyDescent="0.25">
      <c r="B1908" t="s">
        <v>3485</v>
      </c>
      <c r="C1908">
        <v>13179871</v>
      </c>
      <c r="D1908" t="str">
        <f>"4607808310018"</f>
        <v>4607808310018</v>
      </c>
      <c r="E1908" t="s">
        <v>3494</v>
      </c>
      <c r="F1908" t="s">
        <v>21</v>
      </c>
      <c r="G1908">
        <v>1</v>
      </c>
      <c r="H1908" t="s">
        <v>18</v>
      </c>
      <c r="I1908" t="s">
        <v>16</v>
      </c>
      <c r="J1908" t="s">
        <v>3495</v>
      </c>
      <c r="L1908" t="s">
        <v>18</v>
      </c>
      <c r="M1908" t="s">
        <v>1059</v>
      </c>
    </row>
    <row r="1909" spans="2:13" x14ac:dyDescent="0.25">
      <c r="B1909" t="s">
        <v>3485</v>
      </c>
      <c r="C1909">
        <v>13179900</v>
      </c>
      <c r="D1909" t="str">
        <f>"4607808310292"</f>
        <v>4607808310292</v>
      </c>
      <c r="E1909" t="s">
        <v>3496</v>
      </c>
      <c r="F1909" t="s">
        <v>1880</v>
      </c>
      <c r="G1909">
        <v>1</v>
      </c>
      <c r="H1909" t="s">
        <v>18</v>
      </c>
      <c r="I1909" t="s">
        <v>16</v>
      </c>
      <c r="J1909" t="s">
        <v>3495</v>
      </c>
      <c r="L1909" t="s">
        <v>18</v>
      </c>
      <c r="M1909" t="s">
        <v>3497</v>
      </c>
    </row>
    <row r="1910" spans="2:13" x14ac:dyDescent="0.25">
      <c r="B1910" t="s">
        <v>3485</v>
      </c>
      <c r="C1910">
        <v>13179935</v>
      </c>
      <c r="D1910" t="str">
        <f>"4607808310315"</f>
        <v>4607808310315</v>
      </c>
      <c r="E1910" t="s">
        <v>3498</v>
      </c>
      <c r="F1910" t="s">
        <v>525</v>
      </c>
      <c r="G1910">
        <v>1</v>
      </c>
      <c r="H1910" t="s">
        <v>18</v>
      </c>
      <c r="I1910" t="s">
        <v>16</v>
      </c>
      <c r="J1910" t="s">
        <v>3495</v>
      </c>
      <c r="L1910" t="s">
        <v>18</v>
      </c>
      <c r="M1910" t="s">
        <v>1613</v>
      </c>
    </row>
    <row r="1911" spans="2:13" x14ac:dyDescent="0.25">
      <c r="B1911" t="s">
        <v>3485</v>
      </c>
      <c r="C1911">
        <v>13179951</v>
      </c>
      <c r="D1911" t="str">
        <f>"4607808310322"</f>
        <v>4607808310322</v>
      </c>
      <c r="E1911" t="s">
        <v>3499</v>
      </c>
      <c r="F1911" t="s">
        <v>322</v>
      </c>
      <c r="G1911">
        <v>1</v>
      </c>
      <c r="H1911" t="s">
        <v>18</v>
      </c>
      <c r="I1911" t="s">
        <v>16</v>
      </c>
      <c r="J1911" t="s">
        <v>3495</v>
      </c>
      <c r="L1911" t="s">
        <v>18</v>
      </c>
      <c r="M1911" t="s">
        <v>1623</v>
      </c>
    </row>
    <row r="1912" spans="2:13" x14ac:dyDescent="0.25">
      <c r="B1912" t="s">
        <v>3485</v>
      </c>
      <c r="C1912">
        <v>13180020</v>
      </c>
      <c r="D1912" t="str">
        <f>"4607808310346"</f>
        <v>4607808310346</v>
      </c>
      <c r="E1912" t="s">
        <v>3500</v>
      </c>
      <c r="F1912" t="s">
        <v>60</v>
      </c>
      <c r="G1912">
        <v>1</v>
      </c>
      <c r="H1912" t="s">
        <v>18</v>
      </c>
      <c r="I1912" t="s">
        <v>16</v>
      </c>
      <c r="J1912" t="s">
        <v>3495</v>
      </c>
      <c r="L1912" t="s">
        <v>18</v>
      </c>
      <c r="M1912" t="s">
        <v>1742</v>
      </c>
    </row>
    <row r="1913" spans="2:13" x14ac:dyDescent="0.25">
      <c r="B1913" t="s">
        <v>3485</v>
      </c>
      <c r="C1913">
        <v>13180100</v>
      </c>
      <c r="D1913" t="str">
        <f>"4607808310032"</f>
        <v>4607808310032</v>
      </c>
      <c r="E1913" t="s">
        <v>3501</v>
      </c>
      <c r="F1913" t="s">
        <v>649</v>
      </c>
      <c r="G1913">
        <v>1</v>
      </c>
      <c r="H1913" t="s">
        <v>18</v>
      </c>
      <c r="I1913" t="s">
        <v>51</v>
      </c>
      <c r="J1913" t="s">
        <v>3495</v>
      </c>
      <c r="L1913" t="s">
        <v>18</v>
      </c>
      <c r="M1913" t="s">
        <v>1479</v>
      </c>
    </row>
    <row r="1914" spans="2:13" x14ac:dyDescent="0.25">
      <c r="B1914" t="s">
        <v>3485</v>
      </c>
      <c r="C1914">
        <v>13180303</v>
      </c>
      <c r="D1914" t="str">
        <f>"4607808310049"</f>
        <v>4607808310049</v>
      </c>
      <c r="E1914" t="s">
        <v>3502</v>
      </c>
      <c r="F1914" t="s">
        <v>389</v>
      </c>
      <c r="G1914">
        <v>1</v>
      </c>
      <c r="H1914" t="s">
        <v>18</v>
      </c>
      <c r="I1914" t="s">
        <v>16</v>
      </c>
      <c r="J1914" t="s">
        <v>3495</v>
      </c>
      <c r="L1914" t="s">
        <v>18</v>
      </c>
      <c r="M1914" t="s">
        <v>2130</v>
      </c>
    </row>
    <row r="1915" spans="2:13" x14ac:dyDescent="0.25">
      <c r="B1915" t="s">
        <v>3485</v>
      </c>
      <c r="C1915">
        <v>13180514</v>
      </c>
      <c r="D1915" t="str">
        <f>"4607808310087"</f>
        <v>4607808310087</v>
      </c>
      <c r="E1915" t="s">
        <v>3503</v>
      </c>
      <c r="F1915" t="s">
        <v>1783</v>
      </c>
      <c r="G1915">
        <v>1</v>
      </c>
      <c r="H1915" t="s">
        <v>18</v>
      </c>
      <c r="I1915" t="s">
        <v>16</v>
      </c>
      <c r="J1915" t="s">
        <v>3495</v>
      </c>
      <c r="L1915" t="s">
        <v>18</v>
      </c>
      <c r="M1915" t="s">
        <v>3504</v>
      </c>
    </row>
    <row r="1916" spans="2:13" x14ac:dyDescent="0.25">
      <c r="B1916" t="s">
        <v>3485</v>
      </c>
      <c r="C1916">
        <v>13180530</v>
      </c>
      <c r="D1916" t="str">
        <f>"4607808310094"</f>
        <v>4607808310094</v>
      </c>
      <c r="E1916" t="s">
        <v>3505</v>
      </c>
      <c r="F1916" t="s">
        <v>1917</v>
      </c>
      <c r="G1916">
        <v>1</v>
      </c>
      <c r="H1916" t="s">
        <v>18</v>
      </c>
      <c r="I1916" t="s">
        <v>16</v>
      </c>
      <c r="J1916" t="s">
        <v>3495</v>
      </c>
      <c r="L1916" t="s">
        <v>18</v>
      </c>
      <c r="M1916" t="s">
        <v>3506</v>
      </c>
    </row>
    <row r="1917" spans="2:13" x14ac:dyDescent="0.25">
      <c r="B1917" t="s">
        <v>3485</v>
      </c>
      <c r="C1917">
        <v>13180549</v>
      </c>
      <c r="D1917" t="str">
        <f>"4607808310100"</f>
        <v>4607808310100</v>
      </c>
      <c r="E1917" t="s">
        <v>3507</v>
      </c>
      <c r="F1917" t="s">
        <v>2532</v>
      </c>
      <c r="G1917">
        <v>1</v>
      </c>
      <c r="H1917" t="s">
        <v>18</v>
      </c>
      <c r="I1917" t="s">
        <v>16</v>
      </c>
      <c r="J1917" t="s">
        <v>3495</v>
      </c>
      <c r="L1917" t="s">
        <v>18</v>
      </c>
      <c r="M1917" t="s">
        <v>3508</v>
      </c>
    </row>
    <row r="1918" spans="2:13" x14ac:dyDescent="0.25">
      <c r="B1918" t="s">
        <v>3485</v>
      </c>
      <c r="C1918">
        <v>13180565</v>
      </c>
      <c r="D1918" t="str">
        <f>"4607808310117"</f>
        <v>4607808310117</v>
      </c>
      <c r="E1918" t="s">
        <v>3509</v>
      </c>
      <c r="F1918" t="s">
        <v>649</v>
      </c>
      <c r="G1918">
        <v>1</v>
      </c>
      <c r="H1918" t="s">
        <v>18</v>
      </c>
      <c r="I1918" t="s">
        <v>16</v>
      </c>
      <c r="J1918" t="s">
        <v>3495</v>
      </c>
      <c r="L1918" t="s">
        <v>18</v>
      </c>
      <c r="M1918" t="s">
        <v>3510</v>
      </c>
    </row>
    <row r="1919" spans="2:13" x14ac:dyDescent="0.25">
      <c r="B1919" t="s">
        <v>3485</v>
      </c>
      <c r="C1919">
        <v>13180581</v>
      </c>
      <c r="D1919" t="str">
        <f>"4607808310124"</f>
        <v>4607808310124</v>
      </c>
      <c r="E1919" t="s">
        <v>3511</v>
      </c>
      <c r="F1919" t="s">
        <v>379</v>
      </c>
      <c r="G1919">
        <v>1</v>
      </c>
      <c r="H1919" t="s">
        <v>18</v>
      </c>
      <c r="I1919" t="s">
        <v>51</v>
      </c>
      <c r="J1919" t="s">
        <v>3495</v>
      </c>
      <c r="L1919" t="s">
        <v>18</v>
      </c>
      <c r="M1919" t="s">
        <v>2553</v>
      </c>
    </row>
    <row r="1920" spans="2:13" x14ac:dyDescent="0.25">
      <c r="B1920" t="s">
        <v>3485</v>
      </c>
      <c r="C1920">
        <v>13180610</v>
      </c>
      <c r="D1920" t="str">
        <f>"4607808310131"</f>
        <v>4607808310131</v>
      </c>
      <c r="E1920" t="s">
        <v>3512</v>
      </c>
      <c r="F1920" t="s">
        <v>410</v>
      </c>
      <c r="G1920">
        <v>1</v>
      </c>
      <c r="H1920" t="s">
        <v>18</v>
      </c>
      <c r="I1920" t="s">
        <v>16</v>
      </c>
      <c r="J1920" t="s">
        <v>3495</v>
      </c>
      <c r="L1920" t="s">
        <v>18</v>
      </c>
      <c r="M1920" t="s">
        <v>3088</v>
      </c>
    </row>
    <row r="1921" spans="2:13" x14ac:dyDescent="0.25">
      <c r="B1921" t="s">
        <v>3485</v>
      </c>
      <c r="C1921">
        <v>13180645</v>
      </c>
      <c r="D1921" t="str">
        <f>"4607808310155"</f>
        <v>4607808310155</v>
      </c>
      <c r="E1921" t="s">
        <v>3513</v>
      </c>
      <c r="F1921" t="s">
        <v>268</v>
      </c>
      <c r="G1921">
        <v>1</v>
      </c>
      <c r="H1921" t="s">
        <v>18</v>
      </c>
      <c r="I1921" t="s">
        <v>16</v>
      </c>
      <c r="J1921" t="s">
        <v>3495</v>
      </c>
      <c r="L1921" t="s">
        <v>18</v>
      </c>
      <c r="M1921" t="s">
        <v>743</v>
      </c>
    </row>
    <row r="1922" spans="2:13" x14ac:dyDescent="0.25">
      <c r="B1922" t="s">
        <v>3485</v>
      </c>
      <c r="C1922">
        <v>13180944</v>
      </c>
      <c r="D1922" t="str">
        <f>"4607808310230"</f>
        <v>4607808310230</v>
      </c>
      <c r="E1922" t="s">
        <v>3514</v>
      </c>
      <c r="F1922" t="s">
        <v>1778</v>
      </c>
      <c r="G1922">
        <v>1</v>
      </c>
      <c r="H1922" t="s">
        <v>18</v>
      </c>
      <c r="I1922" t="s">
        <v>16</v>
      </c>
      <c r="J1922" t="s">
        <v>3495</v>
      </c>
      <c r="L1922" t="s">
        <v>18</v>
      </c>
      <c r="M1922" t="s">
        <v>2167</v>
      </c>
    </row>
    <row r="1923" spans="2:13" x14ac:dyDescent="0.25">
      <c r="B1923" t="s">
        <v>3485</v>
      </c>
      <c r="C1923">
        <v>13181015</v>
      </c>
      <c r="D1923" t="str">
        <f>"4607808310278"</f>
        <v>4607808310278</v>
      </c>
      <c r="E1923" t="s">
        <v>3515</v>
      </c>
      <c r="F1923" t="s">
        <v>525</v>
      </c>
      <c r="G1923">
        <v>1</v>
      </c>
      <c r="H1923" t="s">
        <v>18</v>
      </c>
      <c r="I1923" t="s">
        <v>51</v>
      </c>
      <c r="J1923" t="s">
        <v>3495</v>
      </c>
      <c r="L1923" t="s">
        <v>18</v>
      </c>
      <c r="M1923" t="s">
        <v>3516</v>
      </c>
    </row>
    <row r="1924" spans="2:13" x14ac:dyDescent="0.25">
      <c r="B1924" t="s">
        <v>3485</v>
      </c>
      <c r="C1924">
        <v>13625210</v>
      </c>
      <c r="D1924" t="str">
        <f>"4607136080546"</f>
        <v>4607136080546</v>
      </c>
      <c r="E1924" t="s">
        <v>3517</v>
      </c>
      <c r="F1924" t="s">
        <v>268</v>
      </c>
      <c r="G1924">
        <v>1</v>
      </c>
      <c r="H1924" t="s">
        <v>18</v>
      </c>
      <c r="I1924" t="s">
        <v>16</v>
      </c>
      <c r="J1924" t="s">
        <v>3487</v>
      </c>
      <c r="L1924" t="s">
        <v>18</v>
      </c>
      <c r="M1924" t="s">
        <v>3518</v>
      </c>
    </row>
    <row r="1925" spans="2:13" x14ac:dyDescent="0.25">
      <c r="B1925" t="s">
        <v>3485</v>
      </c>
      <c r="C1925">
        <v>13625229</v>
      </c>
      <c r="D1925" t="str">
        <f>"4610004615832"</f>
        <v>4610004615832</v>
      </c>
      <c r="E1925" t="s">
        <v>3519</v>
      </c>
      <c r="F1925" t="s">
        <v>525</v>
      </c>
      <c r="G1925">
        <v>1</v>
      </c>
      <c r="H1925" t="s">
        <v>18</v>
      </c>
      <c r="I1925" t="s">
        <v>16</v>
      </c>
      <c r="J1925" t="s">
        <v>3487</v>
      </c>
      <c r="L1925" t="s">
        <v>18</v>
      </c>
      <c r="M1925" t="s">
        <v>2853</v>
      </c>
    </row>
    <row r="1926" spans="2:13" x14ac:dyDescent="0.25">
      <c r="B1926" t="s">
        <v>3485</v>
      </c>
      <c r="C1926">
        <v>13625245</v>
      </c>
      <c r="D1926" t="str">
        <f>"4607136080096"</f>
        <v>4607136080096</v>
      </c>
      <c r="E1926" t="s">
        <v>3520</v>
      </c>
      <c r="F1926" t="s">
        <v>60</v>
      </c>
      <c r="G1926">
        <v>1</v>
      </c>
      <c r="H1926" t="s">
        <v>18</v>
      </c>
      <c r="I1926" t="s">
        <v>16</v>
      </c>
      <c r="J1926" t="s">
        <v>3487</v>
      </c>
      <c r="L1926" t="s">
        <v>18</v>
      </c>
      <c r="M1926" t="s">
        <v>3521</v>
      </c>
    </row>
    <row r="1927" spans="2:13" x14ac:dyDescent="0.25">
      <c r="B1927" t="s">
        <v>3485</v>
      </c>
      <c r="C1927">
        <v>13625253</v>
      </c>
      <c r="D1927" t="str">
        <f>"4607136081161"</f>
        <v>4607136081161</v>
      </c>
      <c r="E1927" t="s">
        <v>3522</v>
      </c>
      <c r="F1927" t="s">
        <v>165</v>
      </c>
      <c r="G1927">
        <v>1</v>
      </c>
      <c r="H1927" t="s">
        <v>18</v>
      </c>
      <c r="I1927" t="s">
        <v>16</v>
      </c>
      <c r="J1927" t="s">
        <v>3487</v>
      </c>
      <c r="L1927" t="s">
        <v>18</v>
      </c>
      <c r="M1927" t="s">
        <v>367</v>
      </c>
    </row>
    <row r="1928" spans="2:13" x14ac:dyDescent="0.25">
      <c r="B1928" t="s">
        <v>3485</v>
      </c>
      <c r="C1928">
        <v>13707136</v>
      </c>
      <c r="D1928" t="str">
        <f>"4610004616242"</f>
        <v>4610004616242</v>
      </c>
      <c r="E1928" t="s">
        <v>3523</v>
      </c>
      <c r="F1928" t="s">
        <v>971</v>
      </c>
      <c r="G1928">
        <v>1</v>
      </c>
      <c r="H1928" t="s">
        <v>18</v>
      </c>
      <c r="I1928" t="s">
        <v>16</v>
      </c>
      <c r="J1928" t="s">
        <v>3487</v>
      </c>
      <c r="L1928" t="s">
        <v>18</v>
      </c>
      <c r="M1928" t="s">
        <v>3524</v>
      </c>
    </row>
    <row r="1929" spans="2:13" x14ac:dyDescent="0.25">
      <c r="B1929" t="s">
        <v>3485</v>
      </c>
      <c r="C1929">
        <v>13792916</v>
      </c>
      <c r="D1929" t="str">
        <f>"4607808310353"</f>
        <v>4607808310353</v>
      </c>
      <c r="E1929" t="s">
        <v>3525</v>
      </c>
      <c r="F1929" t="s">
        <v>252</v>
      </c>
      <c r="G1929">
        <v>1</v>
      </c>
      <c r="H1929" t="s">
        <v>18</v>
      </c>
      <c r="I1929" t="s">
        <v>16</v>
      </c>
      <c r="J1929" t="s">
        <v>3495</v>
      </c>
      <c r="L1929" t="s">
        <v>18</v>
      </c>
      <c r="M1929" t="s">
        <v>2219</v>
      </c>
    </row>
    <row r="1930" spans="2:13" x14ac:dyDescent="0.25">
      <c r="B1930" t="s">
        <v>3485</v>
      </c>
      <c r="C1930">
        <v>14047002</v>
      </c>
      <c r="D1930" t="str">
        <f>"4610004617133"</f>
        <v>4610004617133</v>
      </c>
      <c r="E1930" t="s">
        <v>3526</v>
      </c>
      <c r="F1930" t="s">
        <v>31</v>
      </c>
      <c r="G1930">
        <v>1</v>
      </c>
      <c r="H1930" t="s">
        <v>18</v>
      </c>
      <c r="I1930" t="s">
        <v>16</v>
      </c>
      <c r="J1930" t="s">
        <v>3487</v>
      </c>
      <c r="L1930" t="s">
        <v>18</v>
      </c>
      <c r="M1930" t="s">
        <v>2338</v>
      </c>
    </row>
    <row r="1931" spans="2:13" x14ac:dyDescent="0.25">
      <c r="B1931" t="s">
        <v>3485</v>
      </c>
      <c r="C1931">
        <v>14047053</v>
      </c>
      <c r="D1931" t="str">
        <f>"4610004616617"</f>
        <v>4610004616617</v>
      </c>
      <c r="E1931" t="s">
        <v>3527</v>
      </c>
      <c r="F1931" t="s">
        <v>27</v>
      </c>
      <c r="G1931">
        <v>1</v>
      </c>
      <c r="H1931" t="s">
        <v>18</v>
      </c>
      <c r="I1931" t="s">
        <v>16</v>
      </c>
      <c r="J1931" t="s">
        <v>3487</v>
      </c>
      <c r="L1931" t="s">
        <v>18</v>
      </c>
      <c r="M1931" t="s">
        <v>3528</v>
      </c>
    </row>
    <row r="1932" spans="2:13" x14ac:dyDescent="0.25">
      <c r="B1932" t="s">
        <v>3485</v>
      </c>
      <c r="C1932">
        <v>14116266</v>
      </c>
      <c r="D1932" t="str">
        <f>"4610004617232"</f>
        <v>4610004617232</v>
      </c>
      <c r="E1932" t="s">
        <v>3529</v>
      </c>
      <c r="F1932" t="s">
        <v>1934</v>
      </c>
      <c r="G1932">
        <v>1</v>
      </c>
      <c r="H1932" t="s">
        <v>18</v>
      </c>
      <c r="I1932" t="s">
        <v>16</v>
      </c>
      <c r="J1932" t="s">
        <v>3487</v>
      </c>
      <c r="L1932" t="s">
        <v>18</v>
      </c>
      <c r="M1932" t="s">
        <v>1997</v>
      </c>
    </row>
    <row r="1933" spans="2:13" x14ac:dyDescent="0.25">
      <c r="B1933" t="s">
        <v>3485</v>
      </c>
      <c r="C1933">
        <v>15520308</v>
      </c>
      <c r="D1933" t="str">
        <f>"4607808310483"</f>
        <v>4607808310483</v>
      </c>
      <c r="E1933" t="s">
        <v>3530</v>
      </c>
      <c r="F1933" t="s">
        <v>389</v>
      </c>
      <c r="G1933">
        <v>1</v>
      </c>
      <c r="H1933" t="s">
        <v>18</v>
      </c>
      <c r="I1933" t="s">
        <v>16</v>
      </c>
      <c r="J1933" t="s">
        <v>3495</v>
      </c>
      <c r="L1933" t="s">
        <v>18</v>
      </c>
      <c r="M1933" t="s">
        <v>3531</v>
      </c>
    </row>
    <row r="1934" spans="2:13" x14ac:dyDescent="0.25">
      <c r="B1934" t="s">
        <v>3485</v>
      </c>
      <c r="C1934">
        <v>15520316</v>
      </c>
      <c r="D1934" t="str">
        <f>"4607808310490"</f>
        <v>4607808310490</v>
      </c>
      <c r="E1934" t="s">
        <v>3532</v>
      </c>
      <c r="F1934" t="s">
        <v>413</v>
      </c>
      <c r="G1934">
        <v>1</v>
      </c>
      <c r="H1934" t="s">
        <v>18</v>
      </c>
      <c r="I1934" t="s">
        <v>16</v>
      </c>
      <c r="J1934" t="s">
        <v>3495</v>
      </c>
      <c r="L1934" t="s">
        <v>18</v>
      </c>
      <c r="M1934" t="s">
        <v>3533</v>
      </c>
    </row>
    <row r="1935" spans="2:13" x14ac:dyDescent="0.25">
      <c r="B1935" t="s">
        <v>3485</v>
      </c>
      <c r="C1935">
        <v>16282524</v>
      </c>
      <c r="D1935" t="str">
        <f>"4610004617560"</f>
        <v>4610004617560</v>
      </c>
      <c r="E1935" t="s">
        <v>3534</v>
      </c>
      <c r="F1935" t="s">
        <v>525</v>
      </c>
      <c r="G1935">
        <v>1</v>
      </c>
      <c r="H1935" t="s">
        <v>18</v>
      </c>
      <c r="I1935" t="s">
        <v>16</v>
      </c>
      <c r="J1935" t="s">
        <v>3487</v>
      </c>
      <c r="L1935" t="s">
        <v>18</v>
      </c>
      <c r="M1935" t="s">
        <v>3535</v>
      </c>
    </row>
    <row r="1936" spans="2:13" x14ac:dyDescent="0.25">
      <c r="B1936" t="s">
        <v>3485</v>
      </c>
      <c r="C1936">
        <v>16282532</v>
      </c>
      <c r="D1936" t="str">
        <f>"4610004617416"</f>
        <v>4610004617416</v>
      </c>
      <c r="E1936" t="s">
        <v>3536</v>
      </c>
      <c r="F1936" t="s">
        <v>295</v>
      </c>
      <c r="G1936">
        <v>1</v>
      </c>
      <c r="H1936" t="s">
        <v>18</v>
      </c>
      <c r="I1936" t="s">
        <v>16</v>
      </c>
      <c r="J1936" t="s">
        <v>3487</v>
      </c>
      <c r="L1936" t="s">
        <v>18</v>
      </c>
      <c r="M1936" t="s">
        <v>2103</v>
      </c>
    </row>
    <row r="1937" spans="2:13" x14ac:dyDescent="0.25">
      <c r="B1937" t="s">
        <v>3485</v>
      </c>
      <c r="C1937">
        <v>16282541</v>
      </c>
      <c r="D1937" t="str">
        <f>"4610015810769"</f>
        <v>4610015810769</v>
      </c>
      <c r="E1937" t="s">
        <v>3537</v>
      </c>
      <c r="F1937" t="s">
        <v>2267</v>
      </c>
      <c r="G1937">
        <v>1</v>
      </c>
      <c r="H1937" t="s">
        <v>18</v>
      </c>
      <c r="I1937" t="s">
        <v>16</v>
      </c>
      <c r="J1937" t="s">
        <v>3487</v>
      </c>
      <c r="L1937" t="s">
        <v>18</v>
      </c>
      <c r="M1937" t="s">
        <v>768</v>
      </c>
    </row>
    <row r="1938" spans="2:13" x14ac:dyDescent="0.25">
      <c r="B1938" t="s">
        <v>3485</v>
      </c>
      <c r="C1938">
        <v>16282559</v>
      </c>
      <c r="D1938" t="str">
        <f>"4610015810776"</f>
        <v>4610015810776</v>
      </c>
      <c r="E1938" t="s">
        <v>3538</v>
      </c>
      <c r="F1938" t="s">
        <v>285</v>
      </c>
      <c r="G1938">
        <v>1</v>
      </c>
      <c r="H1938" t="s">
        <v>18</v>
      </c>
      <c r="I1938" t="s">
        <v>16</v>
      </c>
      <c r="J1938" t="s">
        <v>3487</v>
      </c>
      <c r="L1938" t="s">
        <v>18</v>
      </c>
      <c r="M1938" t="s">
        <v>2026</v>
      </c>
    </row>
    <row r="1939" spans="2:13" x14ac:dyDescent="0.25">
      <c r="B1939" t="s">
        <v>3485</v>
      </c>
      <c r="C1939">
        <v>16282567</v>
      </c>
      <c r="D1939" t="str">
        <f>"4607136080119"</f>
        <v>4607136080119</v>
      </c>
      <c r="E1939" t="s">
        <v>3539</v>
      </c>
      <c r="F1939" t="s">
        <v>48</v>
      </c>
      <c r="G1939">
        <v>1</v>
      </c>
      <c r="H1939" t="s">
        <v>18</v>
      </c>
      <c r="I1939" t="s">
        <v>16</v>
      </c>
      <c r="J1939" t="s">
        <v>3487</v>
      </c>
      <c r="L1939" t="s">
        <v>18</v>
      </c>
      <c r="M1939" t="s">
        <v>3540</v>
      </c>
    </row>
    <row r="1940" spans="2:13" x14ac:dyDescent="0.25">
      <c r="B1940" t="s">
        <v>3541</v>
      </c>
      <c r="C1940">
        <v>12050638</v>
      </c>
      <c r="D1940" t="str">
        <f>"4607124450252"</f>
        <v>4607124450252</v>
      </c>
      <c r="E1940" t="s">
        <v>3542</v>
      </c>
      <c r="F1940" t="s">
        <v>858</v>
      </c>
      <c r="G1940">
        <v>1</v>
      </c>
      <c r="H1940" t="s">
        <v>18</v>
      </c>
      <c r="I1940" t="s">
        <v>16</v>
      </c>
      <c r="J1940" t="s">
        <v>3487</v>
      </c>
      <c r="L1940" t="s">
        <v>18</v>
      </c>
      <c r="M1940" t="s">
        <v>2528</v>
      </c>
    </row>
    <row r="1941" spans="2:13" x14ac:dyDescent="0.25">
      <c r="B1941" t="s">
        <v>3541</v>
      </c>
      <c r="C1941">
        <v>12051913</v>
      </c>
      <c r="D1941" t="str">
        <f>"4607124451242"</f>
        <v>4607124451242</v>
      </c>
      <c r="E1941" t="s">
        <v>3543</v>
      </c>
      <c r="F1941" t="s">
        <v>1561</v>
      </c>
      <c r="G1941">
        <v>1</v>
      </c>
      <c r="H1941" t="s">
        <v>18</v>
      </c>
      <c r="I1941" t="s">
        <v>16</v>
      </c>
      <c r="J1941" t="s">
        <v>3487</v>
      </c>
      <c r="L1941" t="s">
        <v>18</v>
      </c>
      <c r="M1941" t="s">
        <v>1915</v>
      </c>
    </row>
    <row r="1942" spans="2:13" x14ac:dyDescent="0.25">
      <c r="B1942" t="s">
        <v>3541</v>
      </c>
      <c r="C1942">
        <v>12493754</v>
      </c>
      <c r="D1942" t="str">
        <f>"4607124459132"</f>
        <v>4607124459132</v>
      </c>
      <c r="E1942" t="s">
        <v>3544</v>
      </c>
      <c r="F1942" t="s">
        <v>114</v>
      </c>
      <c r="G1942">
        <v>1</v>
      </c>
      <c r="H1942" t="s">
        <v>18</v>
      </c>
      <c r="I1942" t="s">
        <v>16</v>
      </c>
      <c r="J1942" t="s">
        <v>3487</v>
      </c>
      <c r="L1942" t="s">
        <v>18</v>
      </c>
      <c r="M1942" t="s">
        <v>2002</v>
      </c>
    </row>
    <row r="1943" spans="2:13" x14ac:dyDescent="0.25">
      <c r="B1943" t="s">
        <v>3541</v>
      </c>
      <c r="C1943">
        <v>12493762</v>
      </c>
      <c r="D1943" t="str">
        <f>"4607124459149"</f>
        <v>4607124459149</v>
      </c>
      <c r="E1943" t="s">
        <v>3545</v>
      </c>
      <c r="F1943" t="s">
        <v>1531</v>
      </c>
      <c r="G1943">
        <v>1</v>
      </c>
      <c r="H1943" t="s">
        <v>18</v>
      </c>
      <c r="I1943" t="s">
        <v>16</v>
      </c>
      <c r="J1943" t="s">
        <v>3487</v>
      </c>
      <c r="L1943" t="s">
        <v>18</v>
      </c>
      <c r="M1943" t="s">
        <v>2002</v>
      </c>
    </row>
    <row r="1944" spans="2:13" x14ac:dyDescent="0.25">
      <c r="B1944" t="s">
        <v>3541</v>
      </c>
      <c r="C1944">
        <v>13085621</v>
      </c>
      <c r="D1944" t="str">
        <f>"4607124450078"</f>
        <v>4607124450078</v>
      </c>
      <c r="E1944" t="s">
        <v>3546</v>
      </c>
      <c r="F1944" t="s">
        <v>2185</v>
      </c>
      <c r="G1944">
        <v>1</v>
      </c>
      <c r="H1944" t="s">
        <v>18</v>
      </c>
      <c r="I1944" t="s">
        <v>16</v>
      </c>
      <c r="J1944" t="s">
        <v>3487</v>
      </c>
      <c r="L1944" t="s">
        <v>18</v>
      </c>
      <c r="M1944" t="s">
        <v>1013</v>
      </c>
    </row>
    <row r="1945" spans="2:13" x14ac:dyDescent="0.25">
      <c r="B1945" t="s">
        <v>3541</v>
      </c>
      <c r="C1945">
        <v>13085808</v>
      </c>
      <c r="D1945" t="str">
        <f>"4610004612688"</f>
        <v>4610004612688</v>
      </c>
      <c r="E1945" t="s">
        <v>3547</v>
      </c>
      <c r="F1945" t="s">
        <v>1317</v>
      </c>
      <c r="G1945">
        <v>1</v>
      </c>
      <c r="H1945" t="s">
        <v>18</v>
      </c>
      <c r="I1945" t="s">
        <v>16</v>
      </c>
      <c r="J1945" t="s">
        <v>3487</v>
      </c>
      <c r="L1945" t="s">
        <v>18</v>
      </c>
      <c r="M1945" t="s">
        <v>1015</v>
      </c>
    </row>
    <row r="1946" spans="2:13" x14ac:dyDescent="0.25">
      <c r="B1946" t="s">
        <v>3541</v>
      </c>
      <c r="C1946">
        <v>13085824</v>
      </c>
      <c r="D1946" t="str">
        <f>"4607124450894"</f>
        <v>4607124450894</v>
      </c>
      <c r="E1946" t="s">
        <v>3548</v>
      </c>
      <c r="F1946" t="s">
        <v>2185</v>
      </c>
      <c r="G1946">
        <v>1</v>
      </c>
      <c r="H1946" t="s">
        <v>18</v>
      </c>
      <c r="I1946" t="s">
        <v>16</v>
      </c>
      <c r="J1946" t="s">
        <v>3487</v>
      </c>
      <c r="L1946" t="s">
        <v>18</v>
      </c>
      <c r="M1946" t="s">
        <v>2544</v>
      </c>
    </row>
    <row r="1947" spans="2:13" x14ac:dyDescent="0.25">
      <c r="B1947" t="s">
        <v>3541</v>
      </c>
      <c r="C1947">
        <v>13086069</v>
      </c>
      <c r="D1947" t="str">
        <f>"4610004611636"</f>
        <v>4610004611636</v>
      </c>
      <c r="E1947" t="s">
        <v>3549</v>
      </c>
      <c r="F1947" t="s">
        <v>48</v>
      </c>
      <c r="G1947">
        <v>1</v>
      </c>
      <c r="H1947" t="s">
        <v>18</v>
      </c>
      <c r="I1947" t="s">
        <v>16</v>
      </c>
      <c r="J1947" t="s">
        <v>3487</v>
      </c>
      <c r="L1947" t="s">
        <v>18</v>
      </c>
      <c r="M1947" t="s">
        <v>1503</v>
      </c>
    </row>
    <row r="1948" spans="2:13" x14ac:dyDescent="0.25">
      <c r="B1948" t="s">
        <v>3541</v>
      </c>
      <c r="C1948">
        <v>13100641</v>
      </c>
      <c r="D1948" t="str">
        <f>"4610004612619"</f>
        <v>4610004612619</v>
      </c>
      <c r="E1948" t="s">
        <v>3550</v>
      </c>
      <c r="F1948" t="s">
        <v>3551</v>
      </c>
      <c r="G1948">
        <v>1</v>
      </c>
      <c r="H1948" t="s">
        <v>18</v>
      </c>
      <c r="I1948" t="s">
        <v>16</v>
      </c>
      <c r="J1948" t="s">
        <v>3487</v>
      </c>
      <c r="L1948" t="s">
        <v>18</v>
      </c>
      <c r="M1948" t="s">
        <v>1960</v>
      </c>
    </row>
    <row r="1949" spans="2:13" x14ac:dyDescent="0.25">
      <c r="B1949" t="s">
        <v>3541</v>
      </c>
      <c r="C1949">
        <v>13669213</v>
      </c>
      <c r="D1949" t="str">
        <f>"4610004616136"</f>
        <v>4610004616136</v>
      </c>
      <c r="E1949" t="s">
        <v>3552</v>
      </c>
      <c r="F1949" t="s">
        <v>109</v>
      </c>
      <c r="G1949">
        <v>1</v>
      </c>
      <c r="H1949" t="s">
        <v>18</v>
      </c>
      <c r="I1949" t="s">
        <v>16</v>
      </c>
      <c r="J1949" t="s">
        <v>3487</v>
      </c>
      <c r="L1949" t="s">
        <v>18</v>
      </c>
      <c r="M1949" t="s">
        <v>2303</v>
      </c>
    </row>
    <row r="1950" spans="2:13" x14ac:dyDescent="0.25">
      <c r="B1950" t="s">
        <v>3541</v>
      </c>
      <c r="C1950">
        <v>14380198</v>
      </c>
      <c r="D1950" t="str">
        <f>"4620009353288"</f>
        <v>4620009353288</v>
      </c>
      <c r="E1950" t="s">
        <v>3553</v>
      </c>
      <c r="F1950" t="s">
        <v>742</v>
      </c>
      <c r="G1950">
        <v>1</v>
      </c>
      <c r="H1950" t="s">
        <v>18</v>
      </c>
      <c r="I1950" t="s">
        <v>16</v>
      </c>
      <c r="J1950" t="s">
        <v>3554</v>
      </c>
      <c r="L1950" t="s">
        <v>18</v>
      </c>
      <c r="M1950" t="s">
        <v>1842</v>
      </c>
    </row>
    <row r="1951" spans="2:13" x14ac:dyDescent="0.25">
      <c r="B1951" t="s">
        <v>3541</v>
      </c>
      <c r="C1951">
        <v>14396966</v>
      </c>
      <c r="D1951" t="str">
        <f>"4620009355596"</f>
        <v>4620009355596</v>
      </c>
      <c r="E1951" t="s">
        <v>3555</v>
      </c>
      <c r="F1951" t="s">
        <v>1934</v>
      </c>
      <c r="G1951">
        <v>1</v>
      </c>
      <c r="H1951" t="s">
        <v>18</v>
      </c>
      <c r="I1951" t="s">
        <v>16</v>
      </c>
      <c r="J1951" t="s">
        <v>3554</v>
      </c>
      <c r="L1951" t="s">
        <v>18</v>
      </c>
      <c r="M1951" t="s">
        <v>3556</v>
      </c>
    </row>
    <row r="1952" spans="2:13" x14ac:dyDescent="0.25">
      <c r="B1952" t="s">
        <v>3541</v>
      </c>
      <c r="C1952">
        <v>14396982</v>
      </c>
      <c r="D1952" t="str">
        <f>"4607146495705"</f>
        <v>4607146495705</v>
      </c>
      <c r="E1952" t="s">
        <v>3557</v>
      </c>
      <c r="F1952" t="s">
        <v>1880</v>
      </c>
      <c r="G1952">
        <v>1</v>
      </c>
      <c r="H1952" t="s">
        <v>18</v>
      </c>
      <c r="I1952" t="s">
        <v>16</v>
      </c>
      <c r="J1952" t="s">
        <v>3554</v>
      </c>
      <c r="L1952" t="s">
        <v>18</v>
      </c>
      <c r="M1952" t="s">
        <v>768</v>
      </c>
    </row>
    <row r="1953" spans="2:13" x14ac:dyDescent="0.25">
      <c r="B1953" t="s">
        <v>3541</v>
      </c>
      <c r="C1953">
        <v>14396991</v>
      </c>
      <c r="D1953" t="str">
        <f>"4620009355589"</f>
        <v>4620009355589</v>
      </c>
      <c r="E1953" t="s">
        <v>3558</v>
      </c>
      <c r="F1953" t="s">
        <v>307</v>
      </c>
      <c r="G1953">
        <v>1</v>
      </c>
      <c r="H1953" t="s">
        <v>18</v>
      </c>
      <c r="I1953" t="s">
        <v>16</v>
      </c>
      <c r="J1953" t="s">
        <v>3554</v>
      </c>
      <c r="L1953" t="s">
        <v>18</v>
      </c>
      <c r="M1953" t="s">
        <v>3556</v>
      </c>
    </row>
    <row r="1954" spans="2:13" x14ac:dyDescent="0.25">
      <c r="B1954" t="s">
        <v>3541</v>
      </c>
      <c r="C1954">
        <v>14397037</v>
      </c>
      <c r="D1954" t="str">
        <f>"4607146491462"</f>
        <v>4607146491462</v>
      </c>
      <c r="E1954" t="s">
        <v>3559</v>
      </c>
      <c r="F1954" t="s">
        <v>1534</v>
      </c>
      <c r="G1954">
        <v>1</v>
      </c>
      <c r="H1954" t="s">
        <v>18</v>
      </c>
      <c r="I1954" t="s">
        <v>16</v>
      </c>
      <c r="J1954" t="s">
        <v>3554</v>
      </c>
      <c r="L1954" t="s">
        <v>18</v>
      </c>
      <c r="M1954" t="s">
        <v>3560</v>
      </c>
    </row>
    <row r="1955" spans="2:13" x14ac:dyDescent="0.25">
      <c r="B1955" t="s">
        <v>3541</v>
      </c>
      <c r="C1955">
        <v>14546637</v>
      </c>
      <c r="D1955" t="str">
        <f>"4620009355268"</f>
        <v>4620009355268</v>
      </c>
      <c r="E1955" t="s">
        <v>3561</v>
      </c>
      <c r="F1955" t="s">
        <v>425</v>
      </c>
      <c r="G1955">
        <v>1</v>
      </c>
      <c r="H1955" t="s">
        <v>18</v>
      </c>
      <c r="I1955" t="s">
        <v>16</v>
      </c>
      <c r="J1955" t="s">
        <v>3554</v>
      </c>
      <c r="L1955" t="s">
        <v>18</v>
      </c>
      <c r="M1955" t="s">
        <v>2006</v>
      </c>
    </row>
    <row r="1956" spans="2:13" x14ac:dyDescent="0.25">
      <c r="B1956" t="s">
        <v>3541</v>
      </c>
      <c r="C1956">
        <v>14546645</v>
      </c>
      <c r="D1956" t="str">
        <f>"4620009355350"</f>
        <v>4620009355350</v>
      </c>
      <c r="E1956" t="s">
        <v>3562</v>
      </c>
      <c r="F1956" t="s">
        <v>1524</v>
      </c>
      <c r="G1956">
        <v>1</v>
      </c>
      <c r="H1956" t="s">
        <v>18</v>
      </c>
      <c r="I1956" t="s">
        <v>16</v>
      </c>
      <c r="J1956" t="s">
        <v>3554</v>
      </c>
      <c r="L1956" t="s">
        <v>18</v>
      </c>
      <c r="M1956" t="s">
        <v>2757</v>
      </c>
    </row>
    <row r="1957" spans="2:13" x14ac:dyDescent="0.25">
      <c r="B1957" t="s">
        <v>3541</v>
      </c>
      <c r="C1957">
        <v>14546670</v>
      </c>
      <c r="D1957" t="str">
        <f>"4607146490755"</f>
        <v>4607146490755</v>
      </c>
      <c r="E1957" t="s">
        <v>3563</v>
      </c>
      <c r="F1957" t="s">
        <v>858</v>
      </c>
      <c r="G1957">
        <v>1</v>
      </c>
      <c r="H1957" t="s">
        <v>18</v>
      </c>
      <c r="I1957" t="s">
        <v>16</v>
      </c>
      <c r="J1957" t="s">
        <v>3554</v>
      </c>
      <c r="L1957" t="s">
        <v>18</v>
      </c>
      <c r="M1957" t="s">
        <v>2000</v>
      </c>
    </row>
    <row r="1958" spans="2:13" x14ac:dyDescent="0.25">
      <c r="B1958" t="s">
        <v>3541</v>
      </c>
      <c r="C1958">
        <v>14546709</v>
      </c>
      <c r="D1958" t="str">
        <f>"4601372101171"</f>
        <v>4601372101171</v>
      </c>
      <c r="E1958" t="s">
        <v>3564</v>
      </c>
      <c r="F1958" t="s">
        <v>609</v>
      </c>
      <c r="G1958">
        <v>1</v>
      </c>
      <c r="H1958" t="s">
        <v>18</v>
      </c>
      <c r="I1958" t="s">
        <v>16</v>
      </c>
      <c r="J1958" t="s">
        <v>3554</v>
      </c>
      <c r="L1958" t="s">
        <v>18</v>
      </c>
      <c r="M1958" t="s">
        <v>1488</v>
      </c>
    </row>
    <row r="1959" spans="2:13" x14ac:dyDescent="0.25">
      <c r="B1959" t="s">
        <v>3541</v>
      </c>
      <c r="C1959">
        <v>14546717</v>
      </c>
      <c r="D1959" t="str">
        <f>"4607146496108"</f>
        <v>4607146496108</v>
      </c>
      <c r="E1959" t="s">
        <v>3565</v>
      </c>
      <c r="F1959" t="s">
        <v>425</v>
      </c>
      <c r="G1959">
        <v>1</v>
      </c>
      <c r="H1959" t="s">
        <v>18</v>
      </c>
      <c r="I1959" t="s">
        <v>16</v>
      </c>
      <c r="J1959" t="s">
        <v>3554</v>
      </c>
      <c r="L1959" t="s">
        <v>18</v>
      </c>
      <c r="M1959" t="s">
        <v>1997</v>
      </c>
    </row>
    <row r="1960" spans="2:13" x14ac:dyDescent="0.25">
      <c r="B1960" t="s">
        <v>3541</v>
      </c>
      <c r="C1960">
        <v>15514291</v>
      </c>
      <c r="D1960" t="str">
        <f>"4620009350072"</f>
        <v>4620009350072</v>
      </c>
      <c r="E1960" t="s">
        <v>3566</v>
      </c>
      <c r="F1960" t="s">
        <v>798</v>
      </c>
      <c r="G1960">
        <v>1</v>
      </c>
      <c r="H1960" t="s">
        <v>18</v>
      </c>
      <c r="I1960" t="s">
        <v>16</v>
      </c>
      <c r="J1960" t="s">
        <v>3554</v>
      </c>
      <c r="L1960" t="s">
        <v>18</v>
      </c>
      <c r="M1960" t="s">
        <v>2906</v>
      </c>
    </row>
    <row r="1961" spans="2:13" x14ac:dyDescent="0.25">
      <c r="B1961" t="s">
        <v>3541</v>
      </c>
      <c r="C1961">
        <v>16282292</v>
      </c>
      <c r="D1961" t="str">
        <f>"4607124450016"</f>
        <v>4607124450016</v>
      </c>
      <c r="E1961" t="s">
        <v>3567</v>
      </c>
      <c r="F1961" t="s">
        <v>60</v>
      </c>
      <c r="G1961">
        <v>1</v>
      </c>
      <c r="H1961" t="s">
        <v>18</v>
      </c>
      <c r="I1961" t="s">
        <v>16</v>
      </c>
      <c r="J1961" t="s">
        <v>3487</v>
      </c>
      <c r="L1961" t="s">
        <v>18</v>
      </c>
      <c r="M1961" t="s">
        <v>755</v>
      </c>
    </row>
    <row r="1962" spans="2:13" x14ac:dyDescent="0.25">
      <c r="B1962" t="s">
        <v>3541</v>
      </c>
      <c r="C1962">
        <v>16282313</v>
      </c>
      <c r="D1962" t="str">
        <f>"4607124457084"</f>
        <v>4607124457084</v>
      </c>
      <c r="E1962" t="s">
        <v>3568</v>
      </c>
      <c r="F1962" t="s">
        <v>43</v>
      </c>
      <c r="G1962">
        <v>1</v>
      </c>
      <c r="H1962" t="s">
        <v>18</v>
      </c>
      <c r="I1962" t="s">
        <v>16</v>
      </c>
      <c r="J1962" t="s">
        <v>3487</v>
      </c>
      <c r="L1962" t="s">
        <v>18</v>
      </c>
      <c r="M1962" t="s">
        <v>2637</v>
      </c>
    </row>
    <row r="1963" spans="2:13" x14ac:dyDescent="0.25">
      <c r="B1963" t="s">
        <v>3541</v>
      </c>
      <c r="C1963">
        <v>16282321</v>
      </c>
      <c r="D1963" t="str">
        <f>"4607124450498"</f>
        <v>4607124450498</v>
      </c>
      <c r="E1963" t="s">
        <v>3569</v>
      </c>
      <c r="F1963" t="s">
        <v>252</v>
      </c>
      <c r="G1963">
        <v>1</v>
      </c>
      <c r="H1963" t="s">
        <v>18</v>
      </c>
      <c r="I1963" t="s">
        <v>16</v>
      </c>
      <c r="J1963" t="s">
        <v>3487</v>
      </c>
      <c r="L1963" t="s">
        <v>18</v>
      </c>
      <c r="M1963" t="s">
        <v>833</v>
      </c>
    </row>
    <row r="1964" spans="2:13" x14ac:dyDescent="0.25">
      <c r="B1964" t="s">
        <v>3541</v>
      </c>
      <c r="C1964">
        <v>16282330</v>
      </c>
      <c r="D1964" t="str">
        <f>"4610015810622"</f>
        <v>4610015810622</v>
      </c>
      <c r="E1964" t="s">
        <v>3570</v>
      </c>
      <c r="F1964" t="s">
        <v>277</v>
      </c>
      <c r="G1964">
        <v>1</v>
      </c>
      <c r="H1964" t="s">
        <v>18</v>
      </c>
      <c r="I1964" t="s">
        <v>16</v>
      </c>
      <c r="J1964" t="s">
        <v>3487</v>
      </c>
      <c r="L1964" t="s">
        <v>18</v>
      </c>
      <c r="M1964" t="s">
        <v>768</v>
      </c>
    </row>
    <row r="1965" spans="2:13" x14ac:dyDescent="0.25">
      <c r="B1965" t="s">
        <v>3541</v>
      </c>
      <c r="C1965">
        <v>16282348</v>
      </c>
      <c r="D1965" t="str">
        <f>"4610015810639"</f>
        <v>4610015810639</v>
      </c>
      <c r="E1965" t="s">
        <v>3571</v>
      </c>
      <c r="F1965" t="s">
        <v>847</v>
      </c>
      <c r="G1965">
        <v>1</v>
      </c>
      <c r="H1965" t="s">
        <v>18</v>
      </c>
      <c r="I1965" t="s">
        <v>16</v>
      </c>
      <c r="J1965" t="s">
        <v>3487</v>
      </c>
      <c r="L1965" t="s">
        <v>18</v>
      </c>
      <c r="M1965" t="s">
        <v>1997</v>
      </c>
    </row>
    <row r="1966" spans="2:13" x14ac:dyDescent="0.25">
      <c r="B1966" t="s">
        <v>3541</v>
      </c>
      <c r="C1966">
        <v>16282356</v>
      </c>
      <c r="D1966" t="str">
        <f>"4610015810646"</f>
        <v>4610015810646</v>
      </c>
      <c r="E1966" t="s">
        <v>3572</v>
      </c>
      <c r="F1966" t="s">
        <v>27</v>
      </c>
      <c r="G1966">
        <v>1</v>
      </c>
      <c r="H1966" t="s">
        <v>18</v>
      </c>
      <c r="I1966" t="s">
        <v>16</v>
      </c>
      <c r="J1966" t="s">
        <v>3487</v>
      </c>
      <c r="L1966" t="s">
        <v>18</v>
      </c>
      <c r="M1966" t="s">
        <v>2189</v>
      </c>
    </row>
    <row r="1967" spans="2:13" x14ac:dyDescent="0.25">
      <c r="B1967" t="s">
        <v>3541</v>
      </c>
      <c r="C1967">
        <v>16282364</v>
      </c>
      <c r="D1967" t="str">
        <f>"4610015810653"</f>
        <v>4610015810653</v>
      </c>
      <c r="E1967" t="s">
        <v>3573</v>
      </c>
      <c r="F1967" t="s">
        <v>109</v>
      </c>
      <c r="G1967">
        <v>1</v>
      </c>
      <c r="H1967" t="s">
        <v>18</v>
      </c>
      <c r="I1967" t="s">
        <v>16</v>
      </c>
      <c r="J1967" t="s">
        <v>3487</v>
      </c>
      <c r="L1967" t="s">
        <v>18</v>
      </c>
      <c r="M1967" t="s">
        <v>757</v>
      </c>
    </row>
    <row r="1968" spans="2:13" x14ac:dyDescent="0.25">
      <c r="B1968" t="s">
        <v>3541</v>
      </c>
      <c r="C1968">
        <v>16282372</v>
      </c>
      <c r="D1968" t="str">
        <f>"4610015810660"</f>
        <v>4610015810660</v>
      </c>
      <c r="E1968" t="s">
        <v>3574</v>
      </c>
      <c r="F1968" t="s">
        <v>285</v>
      </c>
      <c r="G1968">
        <v>1</v>
      </c>
      <c r="H1968" t="s">
        <v>18</v>
      </c>
      <c r="I1968" t="s">
        <v>16</v>
      </c>
      <c r="J1968" t="s">
        <v>3487</v>
      </c>
      <c r="L1968" t="s">
        <v>18</v>
      </c>
      <c r="M1968" t="s">
        <v>3575</v>
      </c>
    </row>
    <row r="1969" spans="2:13" x14ac:dyDescent="0.25">
      <c r="B1969" t="s">
        <v>3541</v>
      </c>
      <c r="C1969">
        <v>16282381</v>
      </c>
      <c r="D1969" t="str">
        <f>"4610015810677"</f>
        <v>4610015810677</v>
      </c>
      <c r="E1969" t="s">
        <v>3576</v>
      </c>
      <c r="F1969" t="s">
        <v>188</v>
      </c>
      <c r="G1969">
        <v>1</v>
      </c>
      <c r="H1969" t="s">
        <v>18</v>
      </c>
      <c r="I1969" t="s">
        <v>16</v>
      </c>
      <c r="J1969" t="s">
        <v>3487</v>
      </c>
      <c r="L1969" t="s">
        <v>18</v>
      </c>
      <c r="M1969" t="s">
        <v>2309</v>
      </c>
    </row>
    <row r="1970" spans="2:13" x14ac:dyDescent="0.25">
      <c r="B1970" t="s">
        <v>3541</v>
      </c>
      <c r="C1970">
        <v>16282410</v>
      </c>
      <c r="D1970" t="str">
        <f>"4610015810691"</f>
        <v>4610015810691</v>
      </c>
      <c r="E1970" t="s">
        <v>3577</v>
      </c>
      <c r="F1970" t="s">
        <v>847</v>
      </c>
      <c r="G1970">
        <v>1</v>
      </c>
      <c r="H1970" t="s">
        <v>18</v>
      </c>
      <c r="I1970" t="s">
        <v>16</v>
      </c>
      <c r="J1970" t="s">
        <v>3487</v>
      </c>
      <c r="L1970" t="s">
        <v>18</v>
      </c>
      <c r="M1970" t="s">
        <v>2421</v>
      </c>
    </row>
    <row r="1971" spans="2:13" x14ac:dyDescent="0.25">
      <c r="B1971" t="s">
        <v>3541</v>
      </c>
      <c r="C1971">
        <v>16282428</v>
      </c>
      <c r="D1971" t="str">
        <f>"4610015810707"</f>
        <v>4610015810707</v>
      </c>
      <c r="E1971" t="s">
        <v>3578</v>
      </c>
      <c r="F1971" t="s">
        <v>379</v>
      </c>
      <c r="G1971">
        <v>1</v>
      </c>
      <c r="H1971" t="s">
        <v>18</v>
      </c>
      <c r="I1971" t="s">
        <v>16</v>
      </c>
      <c r="J1971" t="s">
        <v>3487</v>
      </c>
      <c r="L1971" t="s">
        <v>18</v>
      </c>
      <c r="M1971" t="s">
        <v>2421</v>
      </c>
    </row>
    <row r="1972" spans="2:13" x14ac:dyDescent="0.25">
      <c r="B1972" t="s">
        <v>3541</v>
      </c>
      <c r="C1972">
        <v>18514026</v>
      </c>
      <c r="D1972" t="str">
        <f>"4620009357576"</f>
        <v>4620009357576</v>
      </c>
      <c r="E1972" t="s">
        <v>3579</v>
      </c>
      <c r="F1972" t="s">
        <v>406</v>
      </c>
      <c r="G1972">
        <v>0</v>
      </c>
      <c r="H1972" t="s">
        <v>18</v>
      </c>
      <c r="I1972" t="s">
        <v>680</v>
      </c>
      <c r="J1972" t="s">
        <v>3554</v>
      </c>
      <c r="L1972" t="s">
        <v>18</v>
      </c>
      <c r="M1972" t="s">
        <v>2148</v>
      </c>
    </row>
    <row r="1973" spans="2:13" x14ac:dyDescent="0.25">
      <c r="B1973" t="s">
        <v>3541</v>
      </c>
      <c r="C1973">
        <v>18514131</v>
      </c>
      <c r="D1973" t="str">
        <f>"4680018102659"</f>
        <v>4680018102659</v>
      </c>
      <c r="E1973" t="s">
        <v>3580</v>
      </c>
      <c r="F1973" t="s">
        <v>410</v>
      </c>
      <c r="G1973">
        <v>0</v>
      </c>
      <c r="H1973" t="s">
        <v>18</v>
      </c>
      <c r="I1973" t="s">
        <v>680</v>
      </c>
      <c r="J1973" t="s">
        <v>3554</v>
      </c>
      <c r="L1973" t="s">
        <v>18</v>
      </c>
      <c r="M1973" t="s">
        <v>3581</v>
      </c>
    </row>
    <row r="1974" spans="2:13" x14ac:dyDescent="0.25">
      <c r="B1974" t="s">
        <v>3541</v>
      </c>
      <c r="C1974">
        <v>18545631</v>
      </c>
      <c r="D1974" t="str">
        <f>"4620009356364"</f>
        <v>4620009356364</v>
      </c>
      <c r="E1974" t="s">
        <v>3582</v>
      </c>
      <c r="F1974" t="s">
        <v>366</v>
      </c>
      <c r="G1974">
        <v>1</v>
      </c>
      <c r="H1974" t="s">
        <v>18</v>
      </c>
      <c r="I1974" t="s">
        <v>16</v>
      </c>
      <c r="J1974" t="s">
        <v>3554</v>
      </c>
      <c r="L1974" t="s">
        <v>18</v>
      </c>
      <c r="M1974" t="s">
        <v>639</v>
      </c>
    </row>
    <row r="1975" spans="2:13" x14ac:dyDescent="0.25">
      <c r="B1975" t="s">
        <v>3541</v>
      </c>
      <c r="C1975">
        <v>18566619</v>
      </c>
      <c r="D1975" t="str">
        <f>"4620009358672"</f>
        <v>4620009358672</v>
      </c>
      <c r="E1975" t="s">
        <v>3583</v>
      </c>
      <c r="F1975" t="s">
        <v>406</v>
      </c>
      <c r="G1975">
        <v>1</v>
      </c>
      <c r="H1975" t="s">
        <v>18</v>
      </c>
      <c r="I1975" t="s">
        <v>16</v>
      </c>
      <c r="J1975" t="s">
        <v>3554</v>
      </c>
      <c r="L1975" t="s">
        <v>18</v>
      </c>
      <c r="M1975" t="s">
        <v>3141</v>
      </c>
    </row>
    <row r="1976" spans="2:13" x14ac:dyDescent="0.25">
      <c r="B1976" t="s">
        <v>3584</v>
      </c>
      <c r="C1976">
        <v>14086300</v>
      </c>
      <c r="D1976" t="str">
        <f>"4620009354728"</f>
        <v>4620009354728</v>
      </c>
      <c r="E1976" t="s">
        <v>3585</v>
      </c>
      <c r="F1976" t="s">
        <v>1906</v>
      </c>
      <c r="G1976">
        <v>1</v>
      </c>
      <c r="H1976" t="s">
        <v>18</v>
      </c>
      <c r="I1976" t="s">
        <v>16</v>
      </c>
      <c r="J1976" t="s">
        <v>3554</v>
      </c>
      <c r="L1976" t="s">
        <v>18</v>
      </c>
      <c r="M1976" t="s">
        <v>2185</v>
      </c>
    </row>
    <row r="1977" spans="2:13" x14ac:dyDescent="0.25">
      <c r="B1977" t="s">
        <v>3584</v>
      </c>
      <c r="C1977">
        <v>14086327</v>
      </c>
      <c r="D1977" t="str">
        <f>"4620009354735"</f>
        <v>4620009354735</v>
      </c>
      <c r="E1977" t="s">
        <v>3586</v>
      </c>
      <c r="F1977" t="s">
        <v>3551</v>
      </c>
      <c r="G1977">
        <v>1</v>
      </c>
      <c r="H1977" t="s">
        <v>18</v>
      </c>
      <c r="I1977" t="s">
        <v>16</v>
      </c>
      <c r="J1977" t="s">
        <v>3554</v>
      </c>
      <c r="L1977" t="s">
        <v>18</v>
      </c>
      <c r="M1977" t="s">
        <v>2185</v>
      </c>
    </row>
    <row r="1978" spans="2:13" x14ac:dyDescent="0.25">
      <c r="B1978" t="s">
        <v>3584</v>
      </c>
      <c r="C1978">
        <v>14086343</v>
      </c>
      <c r="D1978" t="str">
        <f>"4620009354759"</f>
        <v>4620009354759</v>
      </c>
      <c r="E1978" t="s">
        <v>3587</v>
      </c>
      <c r="F1978" t="s">
        <v>3588</v>
      </c>
      <c r="G1978">
        <v>1</v>
      </c>
      <c r="H1978" t="s">
        <v>18</v>
      </c>
      <c r="I1978" t="s">
        <v>16</v>
      </c>
      <c r="J1978" t="s">
        <v>3554</v>
      </c>
      <c r="L1978" t="s">
        <v>18</v>
      </c>
      <c r="M1978" t="s">
        <v>2528</v>
      </c>
    </row>
    <row r="1979" spans="2:13" x14ac:dyDescent="0.25">
      <c r="B1979" t="s">
        <v>3584</v>
      </c>
      <c r="C1979">
        <v>14396843</v>
      </c>
      <c r="D1979" t="str">
        <f>"4607118052653"</f>
        <v>4607118052653</v>
      </c>
      <c r="E1979" t="s">
        <v>3589</v>
      </c>
      <c r="F1979" t="s">
        <v>1748</v>
      </c>
      <c r="G1979">
        <v>1</v>
      </c>
      <c r="H1979" t="s">
        <v>18</v>
      </c>
      <c r="I1979" t="s">
        <v>16</v>
      </c>
      <c r="J1979" t="s">
        <v>3554</v>
      </c>
      <c r="L1979" t="s">
        <v>18</v>
      </c>
      <c r="M1979" t="s">
        <v>1742</v>
      </c>
    </row>
    <row r="1980" spans="2:13" x14ac:dyDescent="0.25">
      <c r="B1980" t="s">
        <v>3584</v>
      </c>
      <c r="C1980">
        <v>14396878</v>
      </c>
      <c r="D1980" t="str">
        <f>"4607118052189"</f>
        <v>4607118052189</v>
      </c>
      <c r="E1980" t="s">
        <v>3590</v>
      </c>
      <c r="F1980" t="s">
        <v>3591</v>
      </c>
      <c r="G1980">
        <v>1</v>
      </c>
      <c r="H1980" t="s">
        <v>18</v>
      </c>
      <c r="I1980" t="s">
        <v>16</v>
      </c>
      <c r="J1980" t="s">
        <v>3554</v>
      </c>
      <c r="L1980" t="s">
        <v>18</v>
      </c>
      <c r="M1980" t="s">
        <v>783</v>
      </c>
    </row>
    <row r="1981" spans="2:13" x14ac:dyDescent="0.25">
      <c r="B1981" t="s">
        <v>3584</v>
      </c>
      <c r="C1981">
        <v>14396886</v>
      </c>
      <c r="D1981" t="str">
        <f>"4607118052646"</f>
        <v>4607118052646</v>
      </c>
      <c r="E1981" t="s">
        <v>3592</v>
      </c>
      <c r="F1981" t="s">
        <v>893</v>
      </c>
      <c r="G1981">
        <v>1</v>
      </c>
      <c r="H1981" t="s">
        <v>18</v>
      </c>
      <c r="I1981" t="s">
        <v>16</v>
      </c>
      <c r="J1981" t="s">
        <v>3554</v>
      </c>
      <c r="L1981" t="s">
        <v>18</v>
      </c>
      <c r="M1981" t="s">
        <v>948</v>
      </c>
    </row>
    <row r="1982" spans="2:13" x14ac:dyDescent="0.25">
      <c r="B1982" t="s">
        <v>3584</v>
      </c>
      <c r="C1982">
        <v>14396907</v>
      </c>
      <c r="D1982" t="str">
        <f>"4620009351901"</f>
        <v>4620009351901</v>
      </c>
      <c r="E1982" t="s">
        <v>3593</v>
      </c>
      <c r="F1982" t="s">
        <v>2123</v>
      </c>
      <c r="G1982">
        <v>1</v>
      </c>
      <c r="H1982" t="s">
        <v>18</v>
      </c>
      <c r="I1982" t="s">
        <v>16</v>
      </c>
      <c r="J1982" t="s">
        <v>3554</v>
      </c>
      <c r="L1982" t="s">
        <v>18</v>
      </c>
      <c r="M1982" t="s">
        <v>971</v>
      </c>
    </row>
    <row r="1983" spans="2:13" x14ac:dyDescent="0.25">
      <c r="B1983" t="s">
        <v>3584</v>
      </c>
      <c r="C1983">
        <v>15512359</v>
      </c>
      <c r="D1983" t="str">
        <f>"4620009355992"</f>
        <v>4620009355992</v>
      </c>
      <c r="E1983" t="s">
        <v>3594</v>
      </c>
      <c r="F1983" t="s">
        <v>3595</v>
      </c>
      <c r="G1983">
        <v>1</v>
      </c>
      <c r="H1983" t="s">
        <v>18</v>
      </c>
      <c r="I1983" t="s">
        <v>16</v>
      </c>
      <c r="J1983" t="s">
        <v>3554</v>
      </c>
      <c r="L1983" t="s">
        <v>18</v>
      </c>
      <c r="M1983" t="s">
        <v>3596</v>
      </c>
    </row>
    <row r="1984" spans="2:13" x14ac:dyDescent="0.25">
      <c r="B1984" t="s">
        <v>3584</v>
      </c>
      <c r="C1984">
        <v>15512375</v>
      </c>
      <c r="D1984" t="str">
        <f>"4620009356760"</f>
        <v>4620009356760</v>
      </c>
      <c r="E1984" t="s">
        <v>3597</v>
      </c>
      <c r="F1984" t="s">
        <v>2189</v>
      </c>
      <c r="G1984">
        <v>1</v>
      </c>
      <c r="H1984" t="s">
        <v>18</v>
      </c>
      <c r="I1984" t="s">
        <v>16</v>
      </c>
      <c r="J1984" t="s">
        <v>3554</v>
      </c>
      <c r="L1984" t="s">
        <v>18</v>
      </c>
      <c r="M1984" t="s">
        <v>2365</v>
      </c>
    </row>
    <row r="1985" spans="2:13" x14ac:dyDescent="0.25">
      <c r="B1985" t="s">
        <v>3584</v>
      </c>
      <c r="C1985">
        <v>15512383</v>
      </c>
      <c r="D1985" t="str">
        <f>"4620009358597"</f>
        <v>4620009358597</v>
      </c>
      <c r="E1985" t="s">
        <v>3598</v>
      </c>
      <c r="F1985" t="s">
        <v>2130</v>
      </c>
      <c r="G1985">
        <v>1</v>
      </c>
      <c r="H1985" t="s">
        <v>18</v>
      </c>
      <c r="I1985" t="s">
        <v>16</v>
      </c>
      <c r="J1985" t="s">
        <v>3554</v>
      </c>
      <c r="L1985" t="s">
        <v>18</v>
      </c>
      <c r="M1985" t="s">
        <v>1434</v>
      </c>
    </row>
    <row r="1986" spans="2:13" x14ac:dyDescent="0.25">
      <c r="B1986" t="s">
        <v>3584</v>
      </c>
      <c r="C1986">
        <v>15512391</v>
      </c>
      <c r="D1986" t="str">
        <f>"4620009358580"</f>
        <v>4620009358580</v>
      </c>
      <c r="E1986" t="s">
        <v>3599</v>
      </c>
      <c r="F1986" t="s">
        <v>1617</v>
      </c>
      <c r="G1986">
        <v>1</v>
      </c>
      <c r="H1986" t="s">
        <v>18</v>
      </c>
      <c r="I1986" t="s">
        <v>16</v>
      </c>
      <c r="J1986" t="s">
        <v>3554</v>
      </c>
      <c r="L1986" t="s">
        <v>18</v>
      </c>
      <c r="M1986" t="s">
        <v>1434</v>
      </c>
    </row>
    <row r="1987" spans="2:13" x14ac:dyDescent="0.25">
      <c r="B1987" t="s">
        <v>3584</v>
      </c>
      <c r="C1987">
        <v>15512404</v>
      </c>
      <c r="D1987" t="str">
        <f>"4620009358603"</f>
        <v>4620009358603</v>
      </c>
      <c r="E1987" t="s">
        <v>3600</v>
      </c>
      <c r="F1987" t="s">
        <v>2553</v>
      </c>
      <c r="G1987">
        <v>1</v>
      </c>
      <c r="H1987" t="s">
        <v>18</v>
      </c>
      <c r="I1987" t="s">
        <v>16</v>
      </c>
      <c r="J1987" t="s">
        <v>3554</v>
      </c>
      <c r="L1987" t="s">
        <v>18</v>
      </c>
      <c r="M1987" t="s">
        <v>1434</v>
      </c>
    </row>
    <row r="1988" spans="2:13" x14ac:dyDescent="0.25">
      <c r="B1988" t="s">
        <v>3584</v>
      </c>
      <c r="C1988">
        <v>15512447</v>
      </c>
      <c r="D1988" t="str">
        <f>"4620009358726"</f>
        <v>4620009358726</v>
      </c>
      <c r="E1988" t="s">
        <v>3601</v>
      </c>
      <c r="F1988" t="s">
        <v>1966</v>
      </c>
      <c r="G1988">
        <v>1</v>
      </c>
      <c r="H1988" t="s">
        <v>18</v>
      </c>
      <c r="I1988" t="s">
        <v>16</v>
      </c>
      <c r="J1988" t="s">
        <v>3554</v>
      </c>
      <c r="L1988" t="s">
        <v>18</v>
      </c>
      <c r="M1988" t="s">
        <v>1434</v>
      </c>
    </row>
    <row r="1989" spans="2:13" x14ac:dyDescent="0.25">
      <c r="B1989" t="s">
        <v>3584</v>
      </c>
      <c r="C1989">
        <v>16282452</v>
      </c>
      <c r="D1989" t="str">
        <f>"4680007350924"</f>
        <v>4680007350924</v>
      </c>
      <c r="E1989" t="s">
        <v>3602</v>
      </c>
      <c r="F1989" t="s">
        <v>410</v>
      </c>
      <c r="G1989">
        <v>1</v>
      </c>
      <c r="H1989" t="s">
        <v>18</v>
      </c>
      <c r="I1989" t="s">
        <v>16</v>
      </c>
      <c r="J1989" t="s">
        <v>3487</v>
      </c>
      <c r="L1989" t="s">
        <v>18</v>
      </c>
      <c r="M1989" t="s">
        <v>1018</v>
      </c>
    </row>
    <row r="1990" spans="2:13" x14ac:dyDescent="0.25">
      <c r="B1990" t="s">
        <v>3603</v>
      </c>
      <c r="C1990">
        <v>13667904</v>
      </c>
      <c r="D1990" t="str">
        <f>"4620009350898"</f>
        <v>4620009350898</v>
      </c>
      <c r="E1990" t="s">
        <v>3604</v>
      </c>
      <c r="F1990" t="s">
        <v>3605</v>
      </c>
      <c r="G1990">
        <v>1</v>
      </c>
      <c r="H1990" t="s">
        <v>18</v>
      </c>
      <c r="I1990" t="s">
        <v>16</v>
      </c>
      <c r="J1990" t="s">
        <v>3554</v>
      </c>
      <c r="L1990" t="s">
        <v>18</v>
      </c>
      <c r="M1990" t="s">
        <v>2528</v>
      </c>
    </row>
    <row r="1991" spans="2:13" x14ac:dyDescent="0.25">
      <c r="B1991" t="s">
        <v>3603</v>
      </c>
      <c r="C1991">
        <v>14246036</v>
      </c>
      <c r="D1991" t="str">
        <f>"4620009356036"</f>
        <v>4620009356036</v>
      </c>
      <c r="E1991" t="s">
        <v>3606</v>
      </c>
      <c r="F1991" t="s">
        <v>2728</v>
      </c>
      <c r="G1991">
        <v>1</v>
      </c>
      <c r="H1991" t="s">
        <v>18</v>
      </c>
      <c r="I1991" t="s">
        <v>16</v>
      </c>
      <c r="J1991" t="s">
        <v>3554</v>
      </c>
      <c r="L1991" t="s">
        <v>18</v>
      </c>
      <c r="M1991" t="s">
        <v>2016</v>
      </c>
    </row>
    <row r="1992" spans="2:13" x14ac:dyDescent="0.25">
      <c r="B1992" t="s">
        <v>3603</v>
      </c>
      <c r="C1992">
        <v>14246116</v>
      </c>
      <c r="D1992" t="str">
        <f>"4620009356029"</f>
        <v>4620009356029</v>
      </c>
      <c r="E1992" t="s">
        <v>3607</v>
      </c>
      <c r="F1992" t="s">
        <v>34</v>
      </c>
      <c r="G1992">
        <v>0</v>
      </c>
      <c r="H1992" t="s">
        <v>18</v>
      </c>
      <c r="I1992" t="s">
        <v>754</v>
      </c>
      <c r="J1992" t="s">
        <v>3554</v>
      </c>
      <c r="K1992" s="1">
        <v>42870</v>
      </c>
      <c r="L1992" t="s">
        <v>18</v>
      </c>
      <c r="M1992" t="s">
        <v>2591</v>
      </c>
    </row>
    <row r="1993" spans="2:13" x14ac:dyDescent="0.25">
      <c r="B1993" t="s">
        <v>3603</v>
      </c>
      <c r="C1993">
        <v>14246132</v>
      </c>
      <c r="D1993" t="str">
        <f>"4620009356012"</f>
        <v>4620009356012</v>
      </c>
      <c r="E1993" t="s">
        <v>3608</v>
      </c>
      <c r="F1993" t="s">
        <v>14</v>
      </c>
      <c r="G1993">
        <v>0</v>
      </c>
      <c r="H1993" t="s">
        <v>18</v>
      </c>
      <c r="I1993" t="s">
        <v>754</v>
      </c>
      <c r="J1993" t="s">
        <v>3554</v>
      </c>
      <c r="K1993" s="1">
        <v>42870</v>
      </c>
      <c r="L1993" t="s">
        <v>18</v>
      </c>
      <c r="M1993" t="s">
        <v>2532</v>
      </c>
    </row>
    <row r="1994" spans="2:13" x14ac:dyDescent="0.25">
      <c r="B1994" t="s">
        <v>3603</v>
      </c>
      <c r="C1994">
        <v>15512324</v>
      </c>
      <c r="D1994" t="str">
        <f>"4620009358849"</f>
        <v>4620009358849</v>
      </c>
      <c r="E1994" t="s">
        <v>3609</v>
      </c>
      <c r="F1994" t="s">
        <v>3610</v>
      </c>
      <c r="G1994">
        <v>1</v>
      </c>
      <c r="H1994" t="s">
        <v>18</v>
      </c>
      <c r="I1994" t="s">
        <v>16</v>
      </c>
      <c r="J1994" t="s">
        <v>3554</v>
      </c>
      <c r="L1994" t="s">
        <v>18</v>
      </c>
      <c r="M1994" t="s">
        <v>3611</v>
      </c>
    </row>
    <row r="1995" spans="2:13" x14ac:dyDescent="0.25">
      <c r="B1995" t="s">
        <v>3603</v>
      </c>
      <c r="C1995">
        <v>15512498</v>
      </c>
      <c r="D1995" t="str">
        <f>"4620009357965"</f>
        <v>4620009357965</v>
      </c>
      <c r="E1995" t="s">
        <v>3612</v>
      </c>
      <c r="F1995" t="s">
        <v>247</v>
      </c>
      <c r="G1995">
        <v>1</v>
      </c>
      <c r="H1995" t="s">
        <v>18</v>
      </c>
      <c r="I1995" t="s">
        <v>16</v>
      </c>
      <c r="J1995" t="s">
        <v>3554</v>
      </c>
      <c r="L1995" t="s">
        <v>18</v>
      </c>
      <c r="M1995" t="s">
        <v>1224</v>
      </c>
    </row>
    <row r="1996" spans="2:13" x14ac:dyDescent="0.25">
      <c r="B1996" t="s">
        <v>3603</v>
      </c>
      <c r="C1996">
        <v>16282479</v>
      </c>
      <c r="D1996" t="str">
        <f>"4610015810738"</f>
        <v>4610015810738</v>
      </c>
      <c r="E1996" t="s">
        <v>3613</v>
      </c>
      <c r="F1996" t="s">
        <v>328</v>
      </c>
      <c r="G1996">
        <v>1</v>
      </c>
      <c r="H1996" t="s">
        <v>18</v>
      </c>
      <c r="I1996" t="s">
        <v>16</v>
      </c>
      <c r="J1996" t="s">
        <v>3487</v>
      </c>
      <c r="L1996" t="s">
        <v>18</v>
      </c>
      <c r="M1996" t="s">
        <v>1799</v>
      </c>
    </row>
    <row r="1997" spans="2:13" x14ac:dyDescent="0.25">
      <c r="B1997" t="s">
        <v>3603</v>
      </c>
      <c r="C1997">
        <v>16282487</v>
      </c>
      <c r="D1997" t="str">
        <f>"4610015810745"</f>
        <v>4610015810745</v>
      </c>
      <c r="E1997" t="s">
        <v>3614</v>
      </c>
      <c r="F1997" t="s">
        <v>2728</v>
      </c>
      <c r="G1997">
        <v>1</v>
      </c>
      <c r="H1997" t="s">
        <v>18</v>
      </c>
      <c r="I1997" t="s">
        <v>16</v>
      </c>
      <c r="J1997" t="s">
        <v>3487</v>
      </c>
      <c r="L1997" t="s">
        <v>18</v>
      </c>
      <c r="M1997" t="s">
        <v>2760</v>
      </c>
    </row>
    <row r="1998" spans="2:13" x14ac:dyDescent="0.25">
      <c r="B1998" t="s">
        <v>3603</v>
      </c>
      <c r="C1998">
        <v>16282495</v>
      </c>
      <c r="D1998" t="str">
        <f>"4610015810752"</f>
        <v>4610015810752</v>
      </c>
      <c r="E1998" t="s">
        <v>3615</v>
      </c>
      <c r="F1998" t="s">
        <v>230</v>
      </c>
      <c r="G1998">
        <v>1</v>
      </c>
      <c r="H1998" t="s">
        <v>18</v>
      </c>
      <c r="I1998" t="s">
        <v>16</v>
      </c>
      <c r="J1998" t="s">
        <v>3487</v>
      </c>
      <c r="L1998" t="s">
        <v>18</v>
      </c>
      <c r="M1998" t="s">
        <v>2760</v>
      </c>
    </row>
    <row r="1999" spans="2:13" x14ac:dyDescent="0.25">
      <c r="B1999" t="s">
        <v>3603</v>
      </c>
      <c r="C1999">
        <v>16282516</v>
      </c>
      <c r="D1999" t="str">
        <f>"4680007350993"</f>
        <v>4680007350993</v>
      </c>
      <c r="E1999" t="s">
        <v>3616</v>
      </c>
      <c r="F1999" t="s">
        <v>60</v>
      </c>
      <c r="G1999">
        <v>1</v>
      </c>
      <c r="H1999" t="s">
        <v>18</v>
      </c>
      <c r="I1999" t="s">
        <v>16</v>
      </c>
      <c r="J1999" t="s">
        <v>3487</v>
      </c>
      <c r="L1999" t="s">
        <v>18</v>
      </c>
      <c r="M1999" t="s">
        <v>91</v>
      </c>
    </row>
    <row r="2000" spans="2:13" x14ac:dyDescent="0.25">
      <c r="B2000" t="s">
        <v>3603</v>
      </c>
      <c r="C2000">
        <v>18545640</v>
      </c>
      <c r="D2000" t="str">
        <f>"4680018101492"</f>
        <v>4680018101492</v>
      </c>
      <c r="E2000" t="s">
        <v>3617</v>
      </c>
      <c r="F2000" t="s">
        <v>205</v>
      </c>
      <c r="G2000">
        <v>1</v>
      </c>
      <c r="H2000" t="s">
        <v>18</v>
      </c>
      <c r="I2000" t="s">
        <v>16</v>
      </c>
      <c r="J2000" t="s">
        <v>3554</v>
      </c>
      <c r="L2000" t="s">
        <v>18</v>
      </c>
      <c r="M2000" t="s">
        <v>3560</v>
      </c>
    </row>
    <row r="2001" spans="2:13" x14ac:dyDescent="0.25">
      <c r="B2001" t="s">
        <v>3618</v>
      </c>
      <c r="C2001">
        <v>49071090</v>
      </c>
      <c r="E2001" t="s">
        <v>3619</v>
      </c>
      <c r="G2001">
        <v>1</v>
      </c>
      <c r="H2001" t="s">
        <v>18</v>
      </c>
      <c r="I2001" t="s">
        <v>16</v>
      </c>
      <c r="L2001" t="s">
        <v>18</v>
      </c>
      <c r="M2001" t="s">
        <v>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temp6068903749130537128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ven007 mag081</dc:creator>
  <cp:lastModifiedBy>ven007 mag081</cp:lastModifiedBy>
  <dcterms:created xsi:type="dcterms:W3CDTF">2017-07-09T02:39:25Z</dcterms:created>
  <dcterms:modified xsi:type="dcterms:W3CDTF">2017-07-09T02:39:25Z</dcterms:modified>
</cp:coreProperties>
</file>